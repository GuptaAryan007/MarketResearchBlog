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\OneDrive\Documents\GitHub\DayTradingBot\"/>
    </mc:Choice>
  </mc:AlternateContent>
  <xr:revisionPtr revIDLastSave="0" documentId="8_{A8D563C5-9537-4199-88C7-49B99620FDF9}" xr6:coauthVersionLast="47" xr6:coauthVersionMax="47" xr10:uidLastSave="{00000000-0000-0000-0000-000000000000}"/>
  <bookViews>
    <workbookView xWindow="-120" yWindow="-120" windowWidth="29040" windowHeight="15720" xr2:uid="{9DCF7F8C-3995-44BE-A136-29648E847CF7}"/>
  </bookViews>
  <sheets>
    <sheet name="Amazon DCF" sheetId="1" r:id="rId1"/>
    <sheet name="IS" sheetId="2" r:id="rId2"/>
    <sheet name="CFS" sheetId="3" r:id="rId3"/>
  </sheets>
  <definedNames>
    <definedName name="tgr">'Amazon DCF'!$B$18</definedName>
    <definedName name="tgrnum">'Amazon DCF'!$D$17</definedName>
    <definedName name="wacc">'Amazon DCF'!$B$16</definedName>
    <definedName name="waccnum">'Amazon DCF'!$D$16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J85" i="1"/>
  <c r="K86" i="1"/>
  <c r="L86" i="1" s="1"/>
  <c r="M86" i="1" s="1"/>
  <c r="N86" i="1" s="1"/>
  <c r="D17" i="1"/>
  <c r="F45" i="1"/>
  <c r="E79" i="1" s="1" a="1"/>
  <c r="E79" i="1" s="1"/>
  <c r="G45" i="1"/>
  <c r="H45" i="1"/>
  <c r="I45" i="1"/>
  <c r="E75" i="1" a="1"/>
  <c r="E75" i="1" s="1"/>
  <c r="E76" i="1" s="1"/>
  <c r="E71" i="1" a="1"/>
  <c r="E71" i="1" s="1"/>
  <c r="E72" i="1" s="1"/>
  <c r="N66" i="1"/>
  <c r="N63" i="1" s="1"/>
  <c r="M66" i="1"/>
  <c r="M63" i="1" s="1"/>
  <c r="N64" i="1"/>
  <c r="M64" i="1"/>
  <c r="K65" i="1"/>
  <c r="K66" i="1" s="1"/>
  <c r="K63" i="1" s="1"/>
  <c r="L65" i="1"/>
  <c r="L66" i="1" s="1"/>
  <c r="L63" i="1" s="1"/>
  <c r="M65" i="1"/>
  <c r="N65" i="1"/>
  <c r="J65" i="1"/>
  <c r="J66" i="1" s="1"/>
  <c r="J63" i="1" s="1"/>
  <c r="K60" i="1"/>
  <c r="K58" i="1"/>
  <c r="K57" i="1" s="1"/>
  <c r="J59" i="1"/>
  <c r="J58" i="1" s="1"/>
  <c r="J57" i="1" s="1"/>
  <c r="L59" i="1"/>
  <c r="M59" i="1" s="1"/>
  <c r="N59" i="1" s="1"/>
  <c r="N60" i="1" s="1"/>
  <c r="R40" i="1"/>
  <c r="S40" i="1"/>
  <c r="T40" i="1"/>
  <c r="U40" i="1"/>
  <c r="R37" i="1"/>
  <c r="S37" i="1" s="1"/>
  <c r="T37" i="1" s="1"/>
  <c r="U37" i="1" s="1"/>
  <c r="Q40" i="1"/>
  <c r="K51" i="1"/>
  <c r="J51" i="1"/>
  <c r="J50" i="1" s="1"/>
  <c r="J71" i="1" s="1"/>
  <c r="K54" i="1"/>
  <c r="K52" i="1"/>
  <c r="P9" i="1"/>
  <c r="J54" i="1" s="1"/>
  <c r="H9" i="1"/>
  <c r="J52" i="1" s="1"/>
  <c r="L53" i="1"/>
  <c r="M53" i="1" s="1"/>
  <c r="N53" i="1" s="1"/>
  <c r="N54" i="1" s="1"/>
  <c r="E62" i="1" a="1"/>
  <c r="E62" i="1" s="1"/>
  <c r="E63" i="1" s="1"/>
  <c r="F57" i="1"/>
  <c r="G57" i="1"/>
  <c r="H57" i="1"/>
  <c r="I57" i="1"/>
  <c r="E57" i="1"/>
  <c r="I51" i="1"/>
  <c r="H51" i="1"/>
  <c r="G51" i="1"/>
  <c r="F51" i="1"/>
  <c r="F49" i="1"/>
  <c r="G49" i="1" s="1"/>
  <c r="H49" i="1" s="1"/>
  <c r="I49" i="1" s="1"/>
  <c r="J49" i="1" s="1"/>
  <c r="K49" i="1" s="1"/>
  <c r="L49" i="1" s="1"/>
  <c r="M49" i="1" s="1"/>
  <c r="N49" i="1" s="1"/>
  <c r="F36" i="1"/>
  <c r="G36" i="1" s="1"/>
  <c r="H36" i="1" s="1"/>
  <c r="I36" i="1" s="1"/>
  <c r="J36" i="1" s="1"/>
  <c r="K36" i="1" s="1"/>
  <c r="L36" i="1" s="1"/>
  <c r="M36" i="1" s="1"/>
  <c r="N36" i="1" s="1"/>
  <c r="F42" i="1"/>
  <c r="G42" i="1"/>
  <c r="H42" i="1"/>
  <c r="I42" i="1"/>
  <c r="E42" i="1"/>
  <c r="E46" i="1"/>
  <c r="F39" i="1"/>
  <c r="G39" i="1"/>
  <c r="H39" i="1"/>
  <c r="I39" i="1"/>
  <c r="E39" i="1"/>
  <c r="F38" i="1"/>
  <c r="G38" i="1"/>
  <c r="H38" i="1"/>
  <c r="I38" i="1"/>
  <c r="E38" i="1"/>
  <c r="K33" i="1"/>
  <c r="L33" i="1"/>
  <c r="M33" i="1"/>
  <c r="N33" i="1"/>
  <c r="J33" i="1"/>
  <c r="J31" i="1"/>
  <c r="F34" i="1"/>
  <c r="G34" i="1"/>
  <c r="H34" i="1"/>
  <c r="I34" i="1"/>
  <c r="E34" i="1"/>
  <c r="F31" i="1"/>
  <c r="G31" i="1"/>
  <c r="H31" i="1"/>
  <c r="I31" i="1"/>
  <c r="K31" i="1"/>
  <c r="L31" i="1"/>
  <c r="M31" i="1"/>
  <c r="N31" i="1"/>
  <c r="E31" i="1"/>
  <c r="J28" i="1"/>
  <c r="K28" i="1"/>
  <c r="L28" i="1"/>
  <c r="M28" i="1"/>
  <c r="N28" i="1"/>
  <c r="I28" i="1"/>
  <c r="H28" i="1"/>
  <c r="G28" i="1"/>
  <c r="F28" i="1"/>
  <c r="G9" i="2"/>
  <c r="G11" i="2" s="1"/>
  <c r="G12" i="2" s="1"/>
  <c r="F9" i="2"/>
  <c r="F11" i="2" s="1"/>
  <c r="F12" i="2" s="1"/>
  <c r="E9" i="2"/>
  <c r="E11" i="2" s="1"/>
  <c r="E12" i="2" s="1"/>
  <c r="D9" i="2"/>
  <c r="D11" i="2" s="1"/>
  <c r="D12" i="2" s="1"/>
  <c r="C9" i="2"/>
  <c r="C11" i="2" s="1"/>
  <c r="C12" i="2" s="1"/>
  <c r="F26" i="1"/>
  <c r="G26" i="1" s="1"/>
  <c r="H26" i="1" s="1"/>
  <c r="I26" i="1" s="1"/>
  <c r="J26" i="1" s="1"/>
  <c r="K26" i="1" s="1"/>
  <c r="L26" i="1" s="1"/>
  <c r="M26" i="1" s="1"/>
  <c r="N26" i="1" s="1"/>
  <c r="F47" i="1" l="1"/>
  <c r="F46" i="1"/>
  <c r="J76" i="1"/>
  <c r="I72" i="1"/>
  <c r="H72" i="1"/>
  <c r="G72" i="1"/>
  <c r="I76" i="1"/>
  <c r="H76" i="1"/>
  <c r="F72" i="1"/>
  <c r="G76" i="1"/>
  <c r="F76" i="1"/>
  <c r="M60" i="1"/>
  <c r="L58" i="1"/>
  <c r="L57" i="1" s="1"/>
  <c r="J64" i="1"/>
  <c r="L64" i="1"/>
  <c r="K64" i="1"/>
  <c r="N58" i="1"/>
  <c r="N57" i="1" s="1"/>
  <c r="M58" i="1"/>
  <c r="M57" i="1" s="1"/>
  <c r="L60" i="1"/>
  <c r="J56" i="1"/>
  <c r="J60" i="1"/>
  <c r="N52" i="1"/>
  <c r="M52" i="1"/>
  <c r="L51" i="1"/>
  <c r="L52" i="1"/>
  <c r="N51" i="1"/>
  <c r="M51" i="1"/>
  <c r="M54" i="1"/>
  <c r="L54" i="1"/>
  <c r="K50" i="1"/>
  <c r="I63" i="1"/>
  <c r="H63" i="1"/>
  <c r="G63" i="1"/>
  <c r="F63" i="1"/>
  <c r="G46" i="1" l="1"/>
  <c r="G47" i="1"/>
  <c r="K76" i="1"/>
  <c r="K56" i="1"/>
  <c r="K62" i="1" s="1"/>
  <c r="K68" i="1" s="1"/>
  <c r="K71" i="1"/>
  <c r="J62" i="1"/>
  <c r="J68" i="1" s="1"/>
  <c r="L50" i="1"/>
  <c r="H46" i="1" l="1"/>
  <c r="H47" i="1"/>
  <c r="L71" i="1"/>
  <c r="L76" i="1"/>
  <c r="M50" i="1"/>
  <c r="L56" i="1"/>
  <c r="E80" i="1" l="1"/>
  <c r="F80" i="1"/>
  <c r="I80" i="1"/>
  <c r="G80" i="1"/>
  <c r="H80" i="1"/>
  <c r="I46" i="1"/>
  <c r="I47" i="1"/>
  <c r="M71" i="1"/>
  <c r="M76" i="1"/>
  <c r="L62" i="1"/>
  <c r="L68" i="1" s="1"/>
  <c r="N50" i="1"/>
  <c r="M56" i="1"/>
  <c r="K80" i="1" l="1"/>
  <c r="K79" i="1" s="1"/>
  <c r="K84" i="1" s="1"/>
  <c r="K87" i="1" s="1"/>
  <c r="N80" i="1"/>
  <c r="N79" i="1" s="1"/>
  <c r="M80" i="1"/>
  <c r="M79" i="1" s="1"/>
  <c r="J80" i="1"/>
  <c r="J79" i="1" s="1"/>
  <c r="J84" i="1" s="1"/>
  <c r="L80" i="1"/>
  <c r="L79" i="1" s="1"/>
  <c r="L84" i="1" s="1"/>
  <c r="L87" i="1" s="1"/>
  <c r="N76" i="1"/>
  <c r="N56" i="1"/>
  <c r="N62" i="1" s="1"/>
  <c r="N68" i="1" s="1"/>
  <c r="N71" i="1"/>
  <c r="M62" i="1"/>
  <c r="M68" i="1" s="1"/>
  <c r="M84" i="1" s="1"/>
  <c r="M87" i="1" s="1"/>
  <c r="J87" i="1" l="1"/>
  <c r="N84" i="1"/>
  <c r="N87" i="1" s="1"/>
  <c r="N89" i="1" l="1"/>
  <c r="N90" i="1" s="1"/>
  <c r="N91" i="1" s="1"/>
  <c r="N94" i="1" s="1"/>
  <c r="N96" i="1" s="1"/>
  <c r="G4" i="1" s="1"/>
  <c r="L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<sst xmlns="http://schemas.openxmlformats.org/spreadsheetml/2006/main" count="132" uniqueCount="89">
  <si>
    <t xml:space="preserve"> </t>
  </si>
  <si>
    <t>Amazon DCF</t>
  </si>
  <si>
    <t>Ticker</t>
  </si>
  <si>
    <t>Date</t>
  </si>
  <si>
    <t>Assumptions</t>
  </si>
  <si>
    <t>Income Statement</t>
  </si>
  <si>
    <t>Cash Flow Items</t>
  </si>
  <si>
    <t>DCF</t>
  </si>
  <si>
    <t>AMZN</t>
  </si>
  <si>
    <t>Switches</t>
  </si>
  <si>
    <t>Revenue Growth</t>
  </si>
  <si>
    <t>Taxes</t>
  </si>
  <si>
    <t>Conservative Case</t>
  </si>
  <si>
    <t>Base Case</t>
  </si>
  <si>
    <t>Optimistic Case</t>
  </si>
  <si>
    <t>Revenue</t>
  </si>
  <si>
    <t>% growth</t>
  </si>
  <si>
    <t>EBIT</t>
  </si>
  <si>
    <t>% of sales</t>
  </si>
  <si>
    <t>% of EBIT</t>
  </si>
  <si>
    <t>Total net sales</t>
  </si>
  <si>
    <t>Operating income</t>
  </si>
  <si>
    <t>Interest income</t>
  </si>
  <si>
    <t>Interest expense</t>
  </si>
  <si>
    <t>Other income (expense), net</t>
  </si>
  <si>
    <t>Total non-operating income</t>
  </si>
  <si>
    <t>Income before income taxes</t>
  </si>
  <si>
    <t>Provision for income taxes</t>
  </si>
  <si>
    <t>Equity-method investment activity, net of tax</t>
  </si>
  <si>
    <t>Net income</t>
  </si>
  <si>
    <t>Basic earnings per share</t>
  </si>
  <si>
    <t>Diluted earnings per share</t>
  </si>
  <si>
    <t>Weighted-average shares used in computation of earnings per share:</t>
  </si>
  <si>
    <t>Line Item</t>
  </si>
  <si>
    <t>2023</t>
  </si>
  <si>
    <t>2024</t>
  </si>
  <si>
    <t>2025</t>
  </si>
  <si>
    <t xml:space="preserve">   Cost of sales</t>
  </si>
  <si>
    <t xml:space="preserve">   Fulfillment</t>
  </si>
  <si>
    <t xml:space="preserve">   Technology and infrastructure</t>
  </si>
  <si>
    <t xml:space="preserve">   Sales and marketing</t>
  </si>
  <si>
    <t xml:space="preserve">   General and administrative</t>
  </si>
  <si>
    <t xml:space="preserve">   Other operating expense (income), net</t>
  </si>
  <si>
    <t xml:space="preserve">   Basic</t>
  </si>
  <si>
    <t xml:space="preserve">   Diluted</t>
  </si>
  <si>
    <t>EBIT post Interest</t>
  </si>
  <si>
    <t>Tax</t>
  </si>
  <si>
    <t>Net Income</t>
  </si>
  <si>
    <t>D&amp;A</t>
  </si>
  <si>
    <t>%of sales</t>
  </si>
  <si>
    <t>CapEX</t>
  </si>
  <si>
    <t>% of D&amp;A</t>
  </si>
  <si>
    <t>% of CapEX</t>
  </si>
  <si>
    <t>Change in NWC</t>
  </si>
  <si>
    <t>% of change in sales</t>
  </si>
  <si>
    <t>Depreciation &amp; Amortization (D&amp;A)</t>
  </si>
  <si>
    <t>Net Cash Provided by Operating Activities</t>
  </si>
  <si>
    <t>Net Cash Used in Investing Activities</t>
  </si>
  <si>
    <t>% margin</t>
  </si>
  <si>
    <t>Unlevered FCF</t>
  </si>
  <si>
    <t>Street Case</t>
  </si>
  <si>
    <t>EBIAT</t>
  </si>
  <si>
    <t>EBIT Margin</t>
  </si>
  <si>
    <t>WACC</t>
  </si>
  <si>
    <t>TGR</t>
  </si>
  <si>
    <t>Valuation Assumptions</t>
  </si>
  <si>
    <t>Revenue 2026</t>
  </si>
  <si>
    <t>Revenue Step</t>
  </si>
  <si>
    <t>Margin</t>
  </si>
  <si>
    <t>Scenario,Metric,2026E,2027E,2028E,2029E,2030E,5-Yr CAGR / Margin Ceiling</t>
  </si>
  <si>
    <t>BULL CASE(Morgan Stanley / Jefferies),RevenueEBIT GrowthEBIT ($)EBIT Margin,$824B+28.0%$108.5B13.2%,$935B+21.7%$132.0B14.1%,"$1,055B+22.3%$161.4B15.3%","$1,180B+21.4%$196.0B16.6%","$1,310B+18.4%$232.0B17.7%",Revenue CAGR: 12.3%EBIT CAGR: 22.3%EBIT Margin: → 17.7%</t>
  </si>
  <si>
    <t>BASE CASE(Street Consensus / FactSet),RevenueEBIT GrowthEBIT ($)EBIT Margin,$798B+16.5%$98.5B12.3%,$905B+22.2%$120.4B13.3%,"$1,018B+19.8%$144.2B14.2%","$1,128B+19.8%$172.8B15.3%","$1,245B+14.9%$198.5B15.9%",Revenue CAGR: 11.2%EBIT CAGR: 18.6%EBIT Margin: → 15.9%</t>
  </si>
  <si>
    <t>BEAR CASE(Conservative / Capex Drag),RevenueEBIT GrowthEBIT ($)EBIT Margin,$775B+8.8%$92.0B11.9%,$860B+21.7%$112.0B13.0%,$945B+13.4%$127.0B13.4%,"$1,030B+13.4%$144.0B14.0%","$1,120B+10.4%$159.0B14.2%",Revenue CAGR: 9.2%EBIT CAGR: 15.3%EBIT Margin: → 14.2%</t>
  </si>
  <si>
    <t>EBIT Step</t>
  </si>
  <si>
    <t>EBIT Step (27+)</t>
  </si>
  <si>
    <t>EBIT 2026</t>
  </si>
  <si>
    <t>EBIT (26-27)</t>
  </si>
  <si>
    <t>Time Period</t>
  </si>
  <si>
    <t>Present Value of FCF</t>
  </si>
  <si>
    <t>TV</t>
  </si>
  <si>
    <t>Present Value of TV</t>
  </si>
  <si>
    <t>Enterprise Value</t>
  </si>
  <si>
    <t>- Debt</t>
  </si>
  <si>
    <t>+ Cash</t>
  </si>
  <si>
    <t>Equity Value</t>
  </si>
  <si>
    <t>Shares</t>
  </si>
  <si>
    <t>Share Price</t>
  </si>
  <si>
    <t>Current Share Price</t>
  </si>
  <si>
    <t>Implied Upside/ Downside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</si>
</sst>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&quot;-&quot;"/>
    <numFmt numFmtId="165" formatCode="0.0%"/>
    <numFmt numFmtId="166" formatCode="_(* #,##0_);_(* \(#,##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00B050"/>
      <name val="Calibiri"/>
    </font>
    <font>
      <sz val="10"/>
      <color theme="1"/>
      <name val="Calibiri"/>
    </font>
    <font>
      <b/>
      <sz val="10"/>
      <color theme="1"/>
      <name val="Calibiri"/>
    </font>
    <font>
      <b/>
      <sz val="10"/>
      <color theme="0"/>
      <name val="Calibiri"/>
    </font>
    <font>
      <sz val="10"/>
      <color theme="0"/>
      <name val="Calibiri"/>
    </font>
    <font>
      <b/>
      <i/>
      <sz val="10"/>
      <color theme="1"/>
      <name val="Calibiri"/>
    </font>
    <font>
      <sz val="10"/>
      <color rgb="FF7030A0"/>
      <name val="Calibiri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F2F5F9"/>
        <bgColor rgb="FFF2F5F9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6">
    <xf numFmtId="0" fontId="0" fillId="0" borderId="0" xfId="0"/>
    <xf numFmtId="3" fontId="0" fillId="0" borderId="0" xfId="0" applyNumberFormat="1"/>
    <xf numFmtId="0" fontId="2" fillId="3" borderId="0" xfId="0" applyFont="1" applyFill="1"/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right" vertical="center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5" fillId="6" borderId="0" xfId="0" applyFont="1" applyFill="1"/>
    <xf numFmtId="0" fontId="5" fillId="0" borderId="0" xfId="0" applyFont="1"/>
    <xf numFmtId="164" fontId="4" fillId="6" borderId="5" xfId="0" applyNumberFormat="1" applyFont="1" applyFill="1" applyBorder="1" applyAlignment="1">
      <alignment horizontal="right"/>
    </xf>
    <xf numFmtId="0" fontId="7" fillId="0" borderId="6" xfId="0" applyFont="1" applyBorder="1" applyAlignment="1">
      <alignment horizontal="left" vertical="center" wrapText="1" indent="1"/>
    </xf>
    <xf numFmtId="6" fontId="6" fillId="0" borderId="6" xfId="0" applyNumberFormat="1" applyFont="1" applyBorder="1" applyAlignment="1">
      <alignment horizontal="left" vertical="center" wrapText="1" indent="1"/>
    </xf>
    <xf numFmtId="1" fontId="8" fillId="3" borderId="0" xfId="0" applyNumberFormat="1" applyFont="1" applyFill="1" applyAlignment="1">
      <alignment horizontal="right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44" fontId="9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14" fontId="9" fillId="4" borderId="2" xfId="0" applyNumberFormat="1" applyFont="1" applyFill="1" applyBorder="1" applyAlignment="1">
      <alignment horizontal="center" vertical="center"/>
    </xf>
    <xf numFmtId="44" fontId="9" fillId="0" borderId="0" xfId="3" applyFont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0" borderId="0" xfId="0" applyFont="1"/>
    <xf numFmtId="0" fontId="9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10" fontId="9" fillId="4" borderId="2" xfId="0" applyNumberFormat="1" applyFont="1" applyFill="1" applyBorder="1" applyAlignment="1">
      <alignment horizontal="center" vertical="center"/>
    </xf>
    <xf numFmtId="165" fontId="9" fillId="4" borderId="2" xfId="1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10" fontId="9" fillId="4" borderId="2" xfId="1" applyNumberFormat="1" applyFont="1" applyFill="1" applyBorder="1" applyAlignment="1">
      <alignment horizontal="center" vertical="center"/>
    </xf>
    <xf numFmtId="9" fontId="9" fillId="4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9" fontId="9" fillId="3" borderId="0" xfId="1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1" fontId="8" fillId="3" borderId="0" xfId="0" applyNumberFormat="1" applyFont="1" applyFill="1"/>
    <xf numFmtId="1" fontId="9" fillId="3" borderId="0" xfId="0" applyNumberFormat="1" applyFont="1" applyFill="1" applyAlignment="1">
      <alignment vertical="center"/>
    </xf>
    <xf numFmtId="165" fontId="9" fillId="3" borderId="0" xfId="0" applyNumberFormat="1" applyFont="1" applyFill="1" applyAlignment="1">
      <alignment vertical="center"/>
    </xf>
    <xf numFmtId="2" fontId="9" fillId="3" borderId="0" xfId="0" applyNumberFormat="1" applyFont="1" applyFill="1" applyAlignment="1">
      <alignment vertical="center"/>
    </xf>
    <xf numFmtId="1" fontId="8" fillId="3" borderId="0" xfId="0" applyNumberFormat="1" applyFont="1" applyFill="1" applyAlignment="1">
      <alignment vertical="center"/>
    </xf>
    <xf numFmtId="9" fontId="9" fillId="3" borderId="0" xfId="0" applyNumberFormat="1" applyFont="1" applyFill="1" applyAlignment="1">
      <alignment vertical="center"/>
    </xf>
    <xf numFmtId="165" fontId="9" fillId="0" borderId="0" xfId="0" applyNumberFormat="1" applyFont="1"/>
    <xf numFmtId="0" fontId="13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165" fontId="9" fillId="4" borderId="2" xfId="0" applyNumberFormat="1" applyFont="1" applyFill="1" applyBorder="1" applyAlignment="1">
      <alignment vertical="center"/>
    </xf>
    <xf numFmtId="165" fontId="14" fillId="4" borderId="2" xfId="0" applyNumberFormat="1" applyFont="1" applyFill="1" applyBorder="1" applyAlignment="1">
      <alignment vertical="center"/>
    </xf>
    <xf numFmtId="165" fontId="8" fillId="4" borderId="2" xfId="0" applyNumberFormat="1" applyFont="1" applyFill="1" applyBorder="1" applyAlignment="1">
      <alignment vertical="center"/>
    </xf>
    <xf numFmtId="1" fontId="14" fillId="0" borderId="0" xfId="0" applyNumberFormat="1" applyFont="1" applyAlignment="1">
      <alignment vertical="center"/>
    </xf>
    <xf numFmtId="1" fontId="9" fillId="0" borderId="0" xfId="0" applyNumberFormat="1" applyFont="1"/>
    <xf numFmtId="165" fontId="8" fillId="0" borderId="0" xfId="0" applyNumberFormat="1" applyFont="1" applyAlignment="1">
      <alignment vertical="center"/>
    </xf>
    <xf numFmtId="0" fontId="14" fillId="0" borderId="0" xfId="0" applyFont="1"/>
    <xf numFmtId="9" fontId="9" fillId="0" borderId="0" xfId="0" applyNumberFormat="1" applyFont="1"/>
    <xf numFmtId="2" fontId="9" fillId="0" borderId="0" xfId="0" applyNumberFormat="1" applyFont="1" applyAlignment="1">
      <alignment vertical="center"/>
    </xf>
    <xf numFmtId="166" fontId="9" fillId="0" borderId="0" xfId="2" applyNumberFormat="1" applyFont="1"/>
    <xf numFmtId="166" fontId="9" fillId="0" borderId="0" xfId="2" applyNumberFormat="1" applyFont="1" applyAlignment="1">
      <alignment vertical="center"/>
    </xf>
    <xf numFmtId="0" fontId="9" fillId="0" borderId="0" xfId="0" quotePrefix="1" applyFont="1" applyAlignment="1">
      <alignment vertical="center"/>
    </xf>
    <xf numFmtId="3" fontId="9" fillId="0" borderId="0" xfId="0" applyNumberFormat="1" applyFont="1" applyAlignment="1">
      <alignment vertical="center"/>
    </xf>
    <xf numFmtId="166" fontId="9" fillId="0" borderId="0" xfId="0" applyNumberFormat="1" applyFont="1" applyAlignment="1">
      <alignment vertic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CFAB-0361-42CF-A2C8-0CBFB71C7428}">
  <dimension ref="A1:U96"/>
  <sheetViews>
    <sheetView showGridLines="0" tabSelected="1" topLeftCell="A57" workbookViewId="0">
      <selection activeCell="I15" sqref="I15"/>
    </sheetView>
  </sheetViews>
  <sheetFormatPr defaultColWidth="14.7109375" defaultRowHeight="12.75"/>
  <cols>
    <col min="1" max="1" width="4.5703125" style="13" customWidth="1"/>
    <col min="2" max="13" width="11.7109375" style="13" customWidth="1"/>
    <col min="14" max="14" width="12.140625" style="13" customWidth="1"/>
    <col min="15" max="15" width="14.7109375" style="13"/>
    <col min="16" max="16" width="21.5703125" style="13" bestFit="1" customWidth="1"/>
    <col min="17" max="16384" width="14.7109375" style="13"/>
  </cols>
  <sheetData>
    <row r="1" spans="1:17" ht="15" customHeight="1"/>
    <row r="2" spans="1:17" s="14" customFormat="1" ht="15" customHeight="1">
      <c r="B2" s="15" t="s">
        <v>1</v>
      </c>
    </row>
    <row r="3" spans="1:17" ht="15" customHeight="1">
      <c r="C3" s="14"/>
    </row>
    <row r="4" spans="1:17" ht="15" customHeight="1">
      <c r="B4" s="16" t="s">
        <v>2</v>
      </c>
      <c r="C4" s="17" t="s">
        <v>8</v>
      </c>
      <c r="E4" s="13" t="s">
        <v>86</v>
      </c>
      <c r="G4" s="18">
        <f ca="1">N96</f>
        <v>177.71094118023422</v>
      </c>
      <c r="I4" s="13" t="s">
        <v>88</v>
      </c>
      <c r="L4" s="19">
        <f ca="1">G4/G5-1</f>
        <v>-0.27420485529820615</v>
      </c>
    </row>
    <row r="5" spans="1:17" ht="15" customHeight="1">
      <c r="B5" s="16" t="s">
        <v>3</v>
      </c>
      <c r="C5" s="20">
        <v>46219</v>
      </c>
      <c r="E5" s="13" t="s">
        <v>87</v>
      </c>
      <c r="G5" s="21">
        <v>244.85</v>
      </c>
    </row>
    <row r="6" spans="1:17" ht="15" customHeight="1"/>
    <row r="7" spans="1:17" ht="15" customHeight="1">
      <c r="B7" s="22" t="s">
        <v>4</v>
      </c>
      <c r="C7" s="23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</row>
    <row r="8" spans="1:17" s="26" customFormat="1" ht="15" customHeight="1">
      <c r="B8" s="27" t="s">
        <v>9</v>
      </c>
      <c r="C8" s="27"/>
      <c r="F8" s="27" t="s">
        <v>12</v>
      </c>
      <c r="G8" s="28"/>
      <c r="J8" s="28" t="s">
        <v>13</v>
      </c>
      <c r="K8" s="28"/>
      <c r="N8" s="28" t="s">
        <v>14</v>
      </c>
    </row>
    <row r="9" spans="1:17" ht="15" customHeight="1">
      <c r="B9" s="13" t="s">
        <v>10</v>
      </c>
      <c r="C9" s="25"/>
      <c r="D9" s="29">
        <v>2</v>
      </c>
      <c r="F9" s="13" t="s">
        <v>66</v>
      </c>
      <c r="H9" s="32">
        <f>J53-0.5%</f>
        <v>0.14295989533060693</v>
      </c>
      <c r="J9" s="13" t="s">
        <v>67</v>
      </c>
      <c r="L9" s="30">
        <v>8.5000000000000006E-3</v>
      </c>
      <c r="N9" s="13" t="s">
        <v>66</v>
      </c>
      <c r="P9" s="31">
        <f>J53+0.5%</f>
        <v>0.15295989533060694</v>
      </c>
    </row>
    <row r="10" spans="1:17" ht="15" customHeight="1">
      <c r="B10" s="13" t="s">
        <v>62</v>
      </c>
      <c r="C10" s="25"/>
      <c r="D10" s="29">
        <v>2</v>
      </c>
      <c r="F10" s="13" t="s">
        <v>67</v>
      </c>
      <c r="H10" s="32">
        <v>-0.01</v>
      </c>
      <c r="N10" s="13" t="s">
        <v>67</v>
      </c>
      <c r="P10" s="31">
        <v>0.01</v>
      </c>
    </row>
    <row r="11" spans="1:17" ht="15" customHeight="1">
      <c r="A11" s="25"/>
      <c r="B11" s="13" t="s">
        <v>11</v>
      </c>
      <c r="C11" s="25"/>
      <c r="D11" s="29">
        <v>2</v>
      </c>
      <c r="F11" s="13" t="s">
        <v>76</v>
      </c>
      <c r="H11" s="30">
        <v>4.4999999999999997E-3</v>
      </c>
      <c r="J11" s="13" t="s">
        <v>73</v>
      </c>
      <c r="L11" s="32">
        <v>8.9999999999999993E-3</v>
      </c>
      <c r="N11" s="13" t="s">
        <v>75</v>
      </c>
      <c r="P11" s="33">
        <v>4.4999999999999997E-3</v>
      </c>
    </row>
    <row r="12" spans="1:17" ht="15" customHeight="1">
      <c r="B12" s="13" t="s">
        <v>63</v>
      </c>
      <c r="D12" s="29">
        <v>2</v>
      </c>
      <c r="F12" s="13" t="s">
        <v>74</v>
      </c>
      <c r="H12" s="32">
        <v>5.0000000000000001E-3</v>
      </c>
      <c r="N12" s="13" t="s">
        <v>74</v>
      </c>
      <c r="P12" s="31">
        <v>1.0999999999999999E-2</v>
      </c>
    </row>
    <row r="13" spans="1:17" ht="15" customHeight="1">
      <c r="B13" s="13" t="s">
        <v>64</v>
      </c>
      <c r="D13" s="29">
        <v>2</v>
      </c>
      <c r="F13" s="13" t="s">
        <v>11</v>
      </c>
      <c r="H13" s="32">
        <v>0.22500000000000001</v>
      </c>
      <c r="J13" s="13" t="s">
        <v>11</v>
      </c>
      <c r="L13" s="32">
        <v>0.19500000000000001</v>
      </c>
      <c r="N13" s="13" t="s">
        <v>11</v>
      </c>
      <c r="P13" s="31">
        <v>0.185</v>
      </c>
    </row>
    <row r="14" spans="1:17" ht="15" customHeight="1">
      <c r="F14" s="13" t="s">
        <v>63</v>
      </c>
      <c r="H14" s="32">
        <v>0.105</v>
      </c>
      <c r="I14" s="25"/>
      <c r="J14" s="13" t="s">
        <v>63</v>
      </c>
      <c r="L14" s="34">
        <v>8.5000000000000006E-2</v>
      </c>
      <c r="M14" s="25"/>
      <c r="N14" s="13" t="s">
        <v>63</v>
      </c>
      <c r="P14" s="31">
        <v>0.08</v>
      </c>
    </row>
    <row r="15" spans="1:17" ht="15" customHeight="1">
      <c r="B15" s="35" t="s">
        <v>65</v>
      </c>
      <c r="F15" s="13" t="s">
        <v>64</v>
      </c>
      <c r="H15" s="32">
        <v>0.02</v>
      </c>
      <c r="I15" s="25"/>
      <c r="J15" s="13" t="s">
        <v>64</v>
      </c>
      <c r="L15" s="30">
        <v>2.5000000000000001E-2</v>
      </c>
      <c r="M15" s="25"/>
      <c r="N15" s="13" t="s">
        <v>64</v>
      </c>
      <c r="P15" s="31">
        <v>3.5000000000000003E-2</v>
      </c>
    </row>
    <row r="16" spans="1:17" ht="15" customHeight="1">
      <c r="B16" s="13" t="s">
        <v>63</v>
      </c>
      <c r="C16" s="13" t="s">
        <v>0</v>
      </c>
      <c r="D16" s="32">
        <f>CHOOSE(D12,H14,L14,P14)</f>
        <v>8.5000000000000006E-2</v>
      </c>
    </row>
    <row r="17" spans="2:15" ht="15" customHeight="1">
      <c r="B17" s="13" t="s">
        <v>64</v>
      </c>
      <c r="C17" s="13" t="s">
        <v>0</v>
      </c>
      <c r="D17" s="32">
        <f>CHOOSE(D13,H15,L15,P15)</f>
        <v>2.5000000000000001E-2</v>
      </c>
      <c r="E17" s="25"/>
    </row>
    <row r="18" spans="2:15" ht="15" customHeight="1">
      <c r="L18" s="25"/>
    </row>
    <row r="19" spans="2:15" ht="15" customHeight="1"/>
    <row r="20" spans="2:15" s="26" customFormat="1" ht="15" customHeight="1">
      <c r="B20" s="13"/>
      <c r="D20" s="36"/>
    </row>
    <row r="21" spans="2:15" s="26" customFormat="1" ht="15" customHeight="1">
      <c r="C21" s="25"/>
    </row>
    <row r="22" spans="2:15" s="26" customFormat="1" ht="15" customHeight="1"/>
    <row r="23" spans="2:15" s="26" customFormat="1" ht="15" customHeight="1"/>
    <row r="24" spans="2:15" s="26" customFormat="1" ht="15" customHeight="1">
      <c r="B24" s="37"/>
    </row>
    <row r="25" spans="2:15" ht="15" customHeight="1"/>
    <row r="26" spans="2:15" ht="15" customHeight="1">
      <c r="B26" s="38" t="s">
        <v>5</v>
      </c>
      <c r="C26" s="24"/>
      <c r="D26" s="24"/>
      <c r="E26" s="39">
        <v>2021</v>
      </c>
      <c r="F26" s="39">
        <f t="shared" ref="F26:N26" si="0">E26+1</f>
        <v>2022</v>
      </c>
      <c r="G26" s="39">
        <f t="shared" si="0"/>
        <v>2023</v>
      </c>
      <c r="H26" s="39">
        <f t="shared" si="0"/>
        <v>2024</v>
      </c>
      <c r="I26" s="39">
        <f t="shared" si="0"/>
        <v>2025</v>
      </c>
      <c r="J26" s="39">
        <f t="shared" si="0"/>
        <v>2026</v>
      </c>
      <c r="K26" s="39">
        <f t="shared" si="0"/>
        <v>2027</v>
      </c>
      <c r="L26" s="39">
        <f t="shared" si="0"/>
        <v>2028</v>
      </c>
      <c r="M26" s="39">
        <f t="shared" si="0"/>
        <v>2029</v>
      </c>
      <c r="N26" s="39">
        <f t="shared" si="0"/>
        <v>2030</v>
      </c>
      <c r="O26" s="25"/>
    </row>
    <row r="27" spans="2:15" s="26" customFormat="1" ht="15" customHeight="1">
      <c r="B27" s="26" t="s">
        <v>15</v>
      </c>
      <c r="E27" s="40">
        <v>469822</v>
      </c>
      <c r="F27" s="40">
        <v>513983</v>
      </c>
      <c r="G27" s="40">
        <v>574785</v>
      </c>
      <c r="H27" s="12">
        <v>637959</v>
      </c>
      <c r="I27" s="12">
        <v>716924</v>
      </c>
      <c r="J27" s="41">
        <v>823000</v>
      </c>
      <c r="K27" s="41">
        <v>910000</v>
      </c>
      <c r="L27" s="41">
        <v>1010000</v>
      </c>
      <c r="M27" s="41">
        <v>1130000</v>
      </c>
      <c r="N27" s="41">
        <v>1245000</v>
      </c>
      <c r="O27" s="25"/>
    </row>
    <row r="28" spans="2:15" s="26" customFormat="1" ht="15" customHeight="1">
      <c r="B28" s="26" t="s">
        <v>16</v>
      </c>
      <c r="E28" s="42">
        <v>0.217</v>
      </c>
      <c r="F28" s="42">
        <f>F27/E27-1</f>
        <v>9.399517263985091E-2</v>
      </c>
      <c r="G28" s="42">
        <f>G27/F27-1</f>
        <v>0.1182957412988368</v>
      </c>
      <c r="H28" s="42">
        <f>H27/G27-1</f>
        <v>0.1099089224666614</v>
      </c>
      <c r="I28" s="42">
        <f>I27/H27-1</f>
        <v>0.12377754683294695</v>
      </c>
      <c r="J28" s="42">
        <f>J27/I27-1</f>
        <v>0.14795989533060694</v>
      </c>
      <c r="K28" s="42">
        <f t="shared" ref="K28:N28" si="1">K27/J27-1</f>
        <v>0.10571081409477512</v>
      </c>
      <c r="L28" s="42">
        <f t="shared" si="1"/>
        <v>0.10989010989010994</v>
      </c>
      <c r="M28" s="42">
        <f t="shared" si="1"/>
        <v>0.11881188118811892</v>
      </c>
      <c r="N28" s="42">
        <f t="shared" si="1"/>
        <v>0.10176991150442483</v>
      </c>
      <c r="O28" s="25"/>
    </row>
    <row r="29" spans="2:15" s="26" customFormat="1" ht="15" customHeight="1">
      <c r="B29" s="28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</row>
    <row r="30" spans="2:15" s="26" customFormat="1" ht="15" customHeight="1">
      <c r="B30" s="28" t="s">
        <v>17</v>
      </c>
      <c r="E30" s="44">
        <v>24879</v>
      </c>
      <c r="F30" s="44">
        <v>12248</v>
      </c>
      <c r="G30" s="44">
        <v>36852</v>
      </c>
      <c r="H30" s="44">
        <v>68593</v>
      </c>
      <c r="I30" s="44">
        <v>79975</v>
      </c>
      <c r="J30" s="41">
        <v>103000</v>
      </c>
      <c r="K30" s="41">
        <v>126000</v>
      </c>
      <c r="L30" s="41">
        <v>145700</v>
      </c>
      <c r="M30" s="41">
        <v>179500</v>
      </c>
      <c r="N30" s="41">
        <v>199400</v>
      </c>
      <c r="O30" s="43"/>
    </row>
    <row r="31" spans="2:15" s="26" customFormat="1" ht="15" customHeight="1">
      <c r="B31" s="28" t="s">
        <v>18</v>
      </c>
      <c r="E31" s="42">
        <f>E30/E27</f>
        <v>5.2954097509269465E-2</v>
      </c>
      <c r="F31" s="42">
        <f t="shared" ref="F31:N31" si="2">F30/F27</f>
        <v>2.3829581912242232E-2</v>
      </c>
      <c r="G31" s="42">
        <f t="shared" si="2"/>
        <v>6.4114407996033296E-2</v>
      </c>
      <c r="H31" s="42">
        <f t="shared" si="2"/>
        <v>0.1075194487420038</v>
      </c>
      <c r="I31" s="42">
        <f t="shared" si="2"/>
        <v>0.11155296795755199</v>
      </c>
      <c r="J31" s="42">
        <f>J30/J27</f>
        <v>0.12515188335358446</v>
      </c>
      <c r="K31" s="42">
        <f t="shared" si="2"/>
        <v>0.13846153846153847</v>
      </c>
      <c r="L31" s="42">
        <f t="shared" si="2"/>
        <v>0.14425742574257425</v>
      </c>
      <c r="M31" s="42">
        <f t="shared" si="2"/>
        <v>0.1588495575221239</v>
      </c>
      <c r="N31" s="42">
        <f t="shared" si="2"/>
        <v>0.16016064257028112</v>
      </c>
      <c r="O31" s="45"/>
    </row>
    <row r="32" spans="2:15" s="26" customFormat="1" ht="15" customHeight="1">
      <c r="B32" s="28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</row>
    <row r="33" spans="2:21" s="26" customFormat="1" ht="15" customHeight="1">
      <c r="B33" s="28" t="s">
        <v>11</v>
      </c>
      <c r="E33" s="44">
        <v>4787</v>
      </c>
      <c r="F33" s="44">
        <v>3214</v>
      </c>
      <c r="G33" s="44">
        <v>7132</v>
      </c>
      <c r="H33" s="44">
        <v>9366</v>
      </c>
      <c r="I33" s="44">
        <v>19641</v>
      </c>
      <c r="J33" s="41">
        <f>J30*J34</f>
        <v>19055</v>
      </c>
      <c r="K33" s="41">
        <f t="shared" ref="K33:N33" si="3">K30*K34</f>
        <v>24570</v>
      </c>
      <c r="L33" s="41">
        <f t="shared" si="3"/>
        <v>29868.5</v>
      </c>
      <c r="M33" s="41">
        <f t="shared" si="3"/>
        <v>38592.5</v>
      </c>
      <c r="N33" s="41">
        <f t="shared" si="3"/>
        <v>40877</v>
      </c>
      <c r="O33" s="43"/>
    </row>
    <row r="34" spans="2:21" s="26" customFormat="1" ht="15" customHeight="1">
      <c r="B34" s="28" t="s">
        <v>19</v>
      </c>
      <c r="E34" s="42">
        <f>E33/E30</f>
        <v>0.19241127054945939</v>
      </c>
      <c r="F34" s="42">
        <f t="shared" ref="F34:I34" si="4">F33/F30</f>
        <v>0.26241018941868061</v>
      </c>
      <c r="G34" s="42">
        <f t="shared" si="4"/>
        <v>0.19353088027786822</v>
      </c>
      <c r="H34" s="42">
        <f t="shared" si="4"/>
        <v>0.1365445453617716</v>
      </c>
      <c r="I34" s="42">
        <f t="shared" si="4"/>
        <v>0.24558924663957488</v>
      </c>
      <c r="J34" s="46">
        <v>0.185</v>
      </c>
      <c r="K34" s="46">
        <v>0.19500000000000001</v>
      </c>
      <c r="L34" s="46">
        <v>0.20499999999999999</v>
      </c>
      <c r="M34" s="46">
        <v>0.215</v>
      </c>
      <c r="N34" s="46">
        <v>0.20499999999999999</v>
      </c>
      <c r="O34" s="45"/>
    </row>
    <row r="35" spans="2:21" s="26" customFormat="1" ht="15" customHeight="1">
      <c r="B35" s="47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</row>
    <row r="36" spans="2:21" ht="15" customHeight="1">
      <c r="B36" s="38" t="s">
        <v>6</v>
      </c>
      <c r="C36" s="38"/>
      <c r="D36" s="24"/>
      <c r="E36" s="39">
        <v>2021</v>
      </c>
      <c r="F36" s="39">
        <f t="shared" ref="F36" si="5">E36+1</f>
        <v>2022</v>
      </c>
      <c r="G36" s="39">
        <f t="shared" ref="G36" si="6">F36+1</f>
        <v>2023</v>
      </c>
      <c r="H36" s="39">
        <f t="shared" ref="H36" si="7">G36+1</f>
        <v>2024</v>
      </c>
      <c r="I36" s="39">
        <f t="shared" ref="I36" si="8">H36+1</f>
        <v>2025</v>
      </c>
      <c r="J36" s="39">
        <f t="shared" ref="J36" si="9">I36+1</f>
        <v>2026</v>
      </c>
      <c r="K36" s="39">
        <f t="shared" ref="K36" si="10">J36+1</f>
        <v>2027</v>
      </c>
      <c r="L36" s="39">
        <f t="shared" ref="L36" si="11">K36+1</f>
        <v>2028</v>
      </c>
      <c r="M36" s="39">
        <f t="shared" ref="M36" si="12">L36+1</f>
        <v>2029</v>
      </c>
      <c r="N36" s="39">
        <f t="shared" ref="N36" si="13">M36+1</f>
        <v>2030</v>
      </c>
      <c r="O36" s="25"/>
      <c r="P36" s="25"/>
      <c r="Q36" s="25"/>
    </row>
    <row r="37" spans="2:21" ht="15" customHeight="1">
      <c r="B37" s="35" t="s">
        <v>48</v>
      </c>
      <c r="E37" s="48">
        <v>34433</v>
      </c>
      <c r="F37" s="48">
        <v>41921</v>
      </c>
      <c r="G37" s="48">
        <v>48663</v>
      </c>
      <c r="H37" s="48">
        <v>52795</v>
      </c>
      <c r="I37" s="48">
        <v>65756</v>
      </c>
      <c r="O37" s="25"/>
      <c r="P37" s="25"/>
      <c r="Q37" s="25">
        <v>2026</v>
      </c>
      <c r="R37" s="13">
        <f>Q37+1</f>
        <v>2027</v>
      </c>
      <c r="S37" s="13">
        <f t="shared" ref="S37:U37" si="14">R37+1</f>
        <v>2028</v>
      </c>
      <c r="T37" s="13">
        <f t="shared" si="14"/>
        <v>2029</v>
      </c>
      <c r="U37" s="13">
        <f t="shared" si="14"/>
        <v>2030</v>
      </c>
    </row>
    <row r="38" spans="2:21" ht="15" customHeight="1">
      <c r="B38" s="13" t="s">
        <v>49</v>
      </c>
      <c r="E38" s="49">
        <f>E37/E27</f>
        <v>7.3289458560901785E-2</v>
      </c>
      <c r="F38" s="49">
        <f t="shared" ref="F38:I38" si="15">F37/F27</f>
        <v>8.1561063303650122E-2</v>
      </c>
      <c r="G38" s="49">
        <f t="shared" si="15"/>
        <v>8.4662960933218512E-2</v>
      </c>
      <c r="H38" s="49">
        <f t="shared" si="15"/>
        <v>8.2756101881155369E-2</v>
      </c>
      <c r="I38" s="49">
        <f t="shared" si="15"/>
        <v>9.1719624395333391E-2</v>
      </c>
      <c r="J38" s="25"/>
      <c r="K38" s="25"/>
      <c r="L38" s="25"/>
      <c r="M38" s="25"/>
      <c r="N38" s="25"/>
      <c r="O38" s="25"/>
      <c r="P38" s="25" t="s">
        <v>15</v>
      </c>
      <c r="Q38" s="41">
        <v>823000</v>
      </c>
      <c r="R38" s="41">
        <v>910000</v>
      </c>
      <c r="S38" s="41">
        <v>1010000</v>
      </c>
      <c r="T38" s="41">
        <v>1130000</v>
      </c>
      <c r="U38" s="41">
        <v>1245000</v>
      </c>
    </row>
    <row r="39" spans="2:21" ht="15" customHeight="1">
      <c r="B39" s="13" t="s">
        <v>52</v>
      </c>
      <c r="E39" s="49">
        <f>E37/E41</f>
        <v>0.74325987005418004</v>
      </c>
      <c r="F39" s="49">
        <f t="shared" ref="F39:I39" si="16">F37/F41</f>
        <v>0.89666752224503765</v>
      </c>
      <c r="G39" s="49">
        <f t="shared" si="16"/>
        <v>0.57286982318178603</v>
      </c>
      <c r="H39" s="49">
        <f t="shared" si="16"/>
        <v>0.45561241661416846</v>
      </c>
      <c r="I39" s="49">
        <f t="shared" si="16"/>
        <v>0.47132187450721791</v>
      </c>
      <c r="J39" s="25"/>
      <c r="K39" s="25"/>
      <c r="L39" s="25"/>
      <c r="M39" s="25"/>
      <c r="N39" s="25"/>
      <c r="O39" s="25"/>
      <c r="P39" s="25" t="s">
        <v>17</v>
      </c>
      <c r="Q39" s="25">
        <v>98500</v>
      </c>
      <c r="R39" s="13">
        <v>120400</v>
      </c>
      <c r="S39" s="13">
        <v>144200</v>
      </c>
      <c r="T39" s="13">
        <v>172800</v>
      </c>
      <c r="U39" s="13">
        <v>198500</v>
      </c>
    </row>
    <row r="40" spans="2:21" ht="15" customHeight="1">
      <c r="O40" s="25"/>
      <c r="P40" s="25" t="s">
        <v>68</v>
      </c>
      <c r="Q40" s="46">
        <f>Q39/Q38</f>
        <v>0.11968408262454434</v>
      </c>
      <c r="R40" s="46">
        <f t="shared" ref="R40:U40" si="17">R39/R38</f>
        <v>0.13230769230769232</v>
      </c>
      <c r="S40" s="46">
        <f t="shared" si="17"/>
        <v>0.14277227722772276</v>
      </c>
      <c r="T40" s="46">
        <f t="shared" si="17"/>
        <v>0.15292035398230089</v>
      </c>
      <c r="U40" s="46">
        <f t="shared" si="17"/>
        <v>0.15943775100401605</v>
      </c>
    </row>
    <row r="41" spans="2:21" ht="15" customHeight="1">
      <c r="B41" s="35" t="s">
        <v>50</v>
      </c>
      <c r="E41" s="48">
        <v>46327</v>
      </c>
      <c r="F41" s="48">
        <v>46752</v>
      </c>
      <c r="G41" s="48">
        <v>84946</v>
      </c>
      <c r="H41" s="48">
        <v>115877</v>
      </c>
      <c r="I41" s="48">
        <v>139514</v>
      </c>
      <c r="O41" s="25"/>
      <c r="P41" s="25"/>
      <c r="Q41" s="25"/>
    </row>
    <row r="42" spans="2:21" ht="15" customHeight="1">
      <c r="B42" s="13" t="s">
        <v>51</v>
      </c>
      <c r="E42" s="46">
        <f>E41/E37</f>
        <v>1.3454244474777104</v>
      </c>
      <c r="F42" s="46">
        <f t="shared" ref="F42:I42" si="18">F41/F37</f>
        <v>1.1152405715512512</v>
      </c>
      <c r="G42" s="46">
        <f t="shared" si="18"/>
        <v>1.7455972710272691</v>
      </c>
      <c r="H42" s="46">
        <f t="shared" si="18"/>
        <v>2.1948479969694099</v>
      </c>
      <c r="I42" s="46">
        <f t="shared" si="18"/>
        <v>2.1216923170509157</v>
      </c>
      <c r="O42" s="25"/>
      <c r="P42" s="25"/>
      <c r="Q42" s="25"/>
    </row>
    <row r="43" spans="2:21" ht="15" customHeight="1">
      <c r="O43" s="25"/>
      <c r="P43" s="25"/>
      <c r="Q43" s="25"/>
    </row>
    <row r="44" spans="2:21" ht="15" customHeight="1">
      <c r="O44" s="25"/>
      <c r="P44" s="25"/>
      <c r="Q44" s="25"/>
    </row>
    <row r="45" spans="2:21" ht="15" customHeight="1">
      <c r="B45" s="35" t="s">
        <v>53</v>
      </c>
      <c r="E45" s="48">
        <v>-58154</v>
      </c>
      <c r="F45" s="48">
        <f>-E45-37601</f>
        <v>20553</v>
      </c>
      <c r="G45" s="48">
        <f>37601-49833</f>
        <v>-12232</v>
      </c>
      <c r="H45" s="48">
        <f>49833-94342</f>
        <v>-44509</v>
      </c>
      <c r="I45" s="48">
        <f>94342-142545</f>
        <v>-48203</v>
      </c>
      <c r="O45" s="25"/>
      <c r="P45" s="25"/>
      <c r="Q45" s="25"/>
    </row>
    <row r="46" spans="2:21" ht="15" customHeight="1">
      <c r="B46" s="13" t="s">
        <v>49</v>
      </c>
      <c r="E46" s="46">
        <f>E45/E37</f>
        <v>-1.6889030871547643</v>
      </c>
      <c r="F46" s="46">
        <f t="shared" ref="F46:I46" si="19">F45/F37</f>
        <v>0.49027933493952913</v>
      </c>
      <c r="G46" s="46">
        <f t="shared" si="19"/>
        <v>-0.25136140394139284</v>
      </c>
      <c r="H46" s="46">
        <f t="shared" si="19"/>
        <v>-0.84305331944312911</v>
      </c>
      <c r="I46" s="46">
        <f t="shared" si="19"/>
        <v>-0.73305858020560866</v>
      </c>
      <c r="O46" s="25"/>
      <c r="P46" s="25"/>
      <c r="Q46" s="25"/>
    </row>
    <row r="47" spans="2:21" ht="15" customHeight="1">
      <c r="B47" s="13" t="s">
        <v>54</v>
      </c>
      <c r="F47" s="49">
        <f>F45/(F37-E37)</f>
        <v>2.7447916666666665</v>
      </c>
      <c r="G47" s="49">
        <f t="shared" ref="G47:I47" si="20">G45/(G37-F37)</f>
        <v>-1.8142984277662415</v>
      </c>
      <c r="H47" s="49">
        <f t="shared" si="20"/>
        <v>-10.771781219748306</v>
      </c>
      <c r="I47" s="49">
        <f t="shared" si="20"/>
        <v>-3.7190803178767071</v>
      </c>
      <c r="O47" s="25"/>
      <c r="P47" s="25"/>
      <c r="Q47" s="25"/>
    </row>
    <row r="48" spans="2:21" ht="15" customHeight="1">
      <c r="O48" s="25"/>
      <c r="P48" s="25"/>
      <c r="Q48" s="25"/>
    </row>
    <row r="49" spans="2:17" ht="15" customHeight="1">
      <c r="B49" s="38" t="s">
        <v>7</v>
      </c>
      <c r="C49" s="38"/>
      <c r="D49" s="24"/>
      <c r="E49" s="39">
        <v>2021</v>
      </c>
      <c r="F49" s="39">
        <f t="shared" ref="F49" si="21">E49+1</f>
        <v>2022</v>
      </c>
      <c r="G49" s="39">
        <f t="shared" ref="G49" si="22">F49+1</f>
        <v>2023</v>
      </c>
      <c r="H49" s="39">
        <f t="shared" ref="H49" si="23">G49+1</f>
        <v>2024</v>
      </c>
      <c r="I49" s="39">
        <f t="shared" ref="I49" si="24">H49+1</f>
        <v>2025</v>
      </c>
      <c r="J49" s="39">
        <f t="shared" ref="J49" si="25">I49+1</f>
        <v>2026</v>
      </c>
      <c r="K49" s="39">
        <f t="shared" ref="K49" si="26">J49+1</f>
        <v>2027</v>
      </c>
      <c r="L49" s="39">
        <f t="shared" ref="L49" si="27">K49+1</f>
        <v>2028</v>
      </c>
      <c r="M49" s="39">
        <f t="shared" ref="M49" si="28">L49+1</f>
        <v>2029</v>
      </c>
      <c r="N49" s="39">
        <f t="shared" ref="N49" si="29">M49+1</f>
        <v>2030</v>
      </c>
      <c r="O49" s="25"/>
      <c r="P49" s="25"/>
      <c r="Q49" s="25"/>
    </row>
    <row r="50" spans="2:17" ht="15" customHeight="1">
      <c r="B50" s="13" t="s">
        <v>15</v>
      </c>
      <c r="E50" s="50">
        <v>469822</v>
      </c>
      <c r="F50" s="50">
        <v>513983</v>
      </c>
      <c r="G50" s="50">
        <v>574785</v>
      </c>
      <c r="H50" s="50">
        <v>637959</v>
      </c>
      <c r="I50" s="50">
        <v>716924</v>
      </c>
      <c r="J50" s="51">
        <f ca="1">I50*(1+J51)</f>
        <v>823000</v>
      </c>
      <c r="K50" s="51">
        <f t="shared" ref="K50:N50" ca="1" si="30">J50*(1+K51)</f>
        <v>909999.99999999988</v>
      </c>
      <c r="L50" s="51">
        <f t="shared" ca="1" si="30"/>
        <v>998461.84082624526</v>
      </c>
      <c r="M50" s="51">
        <f t="shared" ca="1" si="30"/>
        <v>1087036.2035685091</v>
      </c>
      <c r="N50" s="51">
        <f t="shared" ca="1" si="30"/>
        <v>1174228.2624072328</v>
      </c>
    </row>
    <row r="51" spans="2:17" ht="15" customHeight="1">
      <c r="B51" s="13" t="s">
        <v>16</v>
      </c>
      <c r="F51" s="42">
        <f>F50/E50-1</f>
        <v>9.399517263985091E-2</v>
      </c>
      <c r="G51" s="42">
        <f>G50/F50-1</f>
        <v>0.1182957412988368</v>
      </c>
      <c r="H51" s="42">
        <f>H50/G50-1</f>
        <v>0.1099089224666614</v>
      </c>
      <c r="I51" s="42">
        <f>I50/H50-1</f>
        <v>0.12377754683294695</v>
      </c>
      <c r="J51" s="49">
        <f ca="1">OFFSET(J51,$D$9,0)</f>
        <v>0.14795989533060694</v>
      </c>
      <c r="K51" s="49">
        <f t="shared" ref="K51:N51" ca="1" si="31">OFFSET(K51,$D$9,0)</f>
        <v>0.10571081409477512</v>
      </c>
      <c r="L51" s="49">
        <f t="shared" ca="1" si="31"/>
        <v>9.7210814094775111E-2</v>
      </c>
      <c r="M51" s="49">
        <f t="shared" ca="1" si="31"/>
        <v>8.8710814094775103E-2</v>
      </c>
      <c r="N51" s="49">
        <f t="shared" ca="1" si="31"/>
        <v>8.0210814094775096E-2</v>
      </c>
    </row>
    <row r="52" spans="2:17" ht="15" customHeight="1">
      <c r="B52" s="13" t="s">
        <v>12</v>
      </c>
      <c r="J52" s="52">
        <f>H9</f>
        <v>0.14295989533060693</v>
      </c>
      <c r="K52" s="52">
        <f>K53+$H$10</f>
        <v>9.5710814094775123E-2</v>
      </c>
      <c r="L52" s="52">
        <f t="shared" ref="L52:N52" si="32">L53+$H$10</f>
        <v>8.7210814094775116E-2</v>
      </c>
      <c r="M52" s="52">
        <f t="shared" si="32"/>
        <v>7.8710814094775108E-2</v>
      </c>
      <c r="N52" s="52">
        <f t="shared" si="32"/>
        <v>7.0210814094775101E-2</v>
      </c>
    </row>
    <row r="53" spans="2:17" ht="15" customHeight="1">
      <c r="B53" s="13" t="s">
        <v>60</v>
      </c>
      <c r="J53" s="53">
        <v>0.14795989533060694</v>
      </c>
      <c r="K53" s="53">
        <v>0.10571081409477512</v>
      </c>
      <c r="L53" s="52">
        <f>K53-$L$9</f>
        <v>9.7210814094775111E-2</v>
      </c>
      <c r="M53" s="52">
        <f>L53-$L$9</f>
        <v>8.8710814094775103E-2</v>
      </c>
      <c r="N53" s="52">
        <f>M53-$L$9</f>
        <v>8.0210814094775096E-2</v>
      </c>
    </row>
    <row r="54" spans="2:17" ht="15" customHeight="1">
      <c r="B54" s="13" t="s">
        <v>14</v>
      </c>
      <c r="J54" s="52">
        <f>P9</f>
        <v>0.15295989533060694</v>
      </c>
      <c r="K54" s="52">
        <f>K53+$P$10</f>
        <v>0.11571081409477511</v>
      </c>
      <c r="L54" s="52">
        <f t="shared" ref="L54:N54" si="33">L53+$P$10</f>
        <v>0.10721081409477511</v>
      </c>
      <c r="M54" s="52">
        <f t="shared" si="33"/>
        <v>9.8710814094775098E-2</v>
      </c>
      <c r="N54" s="52">
        <f t="shared" si="33"/>
        <v>9.0210814094775091E-2</v>
      </c>
    </row>
    <row r="55" spans="2:17" ht="15" customHeight="1"/>
    <row r="56" spans="2:17" ht="15" customHeight="1">
      <c r="B56" s="13" t="s">
        <v>17</v>
      </c>
      <c r="E56" s="48">
        <v>24879</v>
      </c>
      <c r="F56" s="48">
        <v>12248</v>
      </c>
      <c r="G56" s="48">
        <v>36852</v>
      </c>
      <c r="H56" s="48">
        <v>68593</v>
      </c>
      <c r="I56" s="48">
        <v>79975</v>
      </c>
      <c r="J56" s="51">
        <f ca="1">J50*J57</f>
        <v>101229.00000000001</v>
      </c>
      <c r="K56" s="51">
        <f t="shared" ref="K56:N56" ca="1" si="34">K50*K57</f>
        <v>121029.99999999999</v>
      </c>
      <c r="L56" s="51">
        <f t="shared" ca="1" si="34"/>
        <v>141781.58139732684</v>
      </c>
      <c r="M56" s="51">
        <f t="shared" ca="1" si="34"/>
        <v>164142.4667388449</v>
      </c>
      <c r="N56" s="51">
        <f t="shared" ca="1" si="34"/>
        <v>187876.52198515728</v>
      </c>
    </row>
    <row r="57" spans="2:17" ht="15" customHeight="1">
      <c r="B57" s="13" t="s">
        <v>58</v>
      </c>
      <c r="E57" s="49">
        <f>E56/E50</f>
        <v>5.2954097509269465E-2</v>
      </c>
      <c r="F57" s="49">
        <f t="shared" ref="F57:I57" si="35">F56/F50</f>
        <v>2.3829581912242232E-2</v>
      </c>
      <c r="G57" s="49">
        <f t="shared" si="35"/>
        <v>6.4114407996033296E-2</v>
      </c>
      <c r="H57" s="49">
        <f t="shared" si="35"/>
        <v>0.1075194487420038</v>
      </c>
      <c r="I57" s="49">
        <f t="shared" si="35"/>
        <v>0.11155296795755199</v>
      </c>
      <c r="J57" s="49">
        <f ca="1">OFFSET(J57,$D$10,0)</f>
        <v>0.12300000000000001</v>
      </c>
      <c r="K57" s="49">
        <f t="shared" ref="K57:N57" ca="1" si="36">OFFSET(K57,$D$10,0)</f>
        <v>0.13300000000000001</v>
      </c>
      <c r="L57" s="49">
        <f t="shared" ca="1" si="36"/>
        <v>0.14200000000000002</v>
      </c>
      <c r="M57" s="49">
        <f t="shared" ca="1" si="36"/>
        <v>0.15100000000000002</v>
      </c>
      <c r="N57" s="49">
        <f t="shared" ca="1" si="36"/>
        <v>0.16000000000000003</v>
      </c>
    </row>
    <row r="58" spans="2:17" ht="15" customHeight="1">
      <c r="B58" s="13" t="s">
        <v>12</v>
      </c>
      <c r="J58" s="52">
        <f>J59-$H$11</f>
        <v>0.11850000000000001</v>
      </c>
      <c r="K58" s="52">
        <f>K59-$H$11</f>
        <v>0.1285</v>
      </c>
      <c r="L58" s="52">
        <f>L59+$H$12</f>
        <v>0.14700000000000002</v>
      </c>
      <c r="M58" s="52">
        <f t="shared" ref="M58:N58" si="37">M59+$H$12</f>
        <v>0.15600000000000003</v>
      </c>
      <c r="N58" s="52">
        <f t="shared" si="37"/>
        <v>0.16500000000000004</v>
      </c>
    </row>
    <row r="59" spans="2:17" ht="15" customHeight="1">
      <c r="B59" s="13" t="s">
        <v>60</v>
      </c>
      <c r="J59" s="54">
        <f>12.3%</f>
        <v>0.12300000000000001</v>
      </c>
      <c r="K59" s="54">
        <v>0.13300000000000001</v>
      </c>
      <c r="L59" s="53">
        <f>K59+$L$11</f>
        <v>0.14200000000000002</v>
      </c>
      <c r="M59" s="53">
        <f>L59+$L$11</f>
        <v>0.15100000000000002</v>
      </c>
      <c r="N59" s="53">
        <f>M59+$L$11</f>
        <v>0.16000000000000003</v>
      </c>
    </row>
    <row r="60" spans="2:17" ht="15" customHeight="1">
      <c r="B60" s="13" t="s">
        <v>14</v>
      </c>
      <c r="J60" s="52">
        <f>J59+$P$11</f>
        <v>0.1275</v>
      </c>
      <c r="K60" s="52">
        <f>K59+$P$11</f>
        <v>0.13750000000000001</v>
      </c>
      <c r="L60" s="52">
        <f>L59+$P$12</f>
        <v>0.15300000000000002</v>
      </c>
      <c r="M60" s="52">
        <f t="shared" ref="M60:N60" si="38">M59+$P$12</f>
        <v>0.16200000000000003</v>
      </c>
      <c r="N60" s="52">
        <f t="shared" si="38"/>
        <v>0.17100000000000004</v>
      </c>
    </row>
    <row r="61" spans="2:17" ht="15" customHeight="1"/>
    <row r="62" spans="2:17" ht="15" customHeight="1">
      <c r="B62" s="13" t="s">
        <v>11</v>
      </c>
      <c r="E62" s="55" cm="1">
        <f t="array" ref="E62:I62">E33:I33</f>
        <v>4787</v>
      </c>
      <c r="F62" s="50">
        <v>3214</v>
      </c>
      <c r="G62" s="50">
        <v>7132</v>
      </c>
      <c r="H62" s="50">
        <v>9366</v>
      </c>
      <c r="I62" s="50">
        <v>19641</v>
      </c>
      <c r="J62" s="51">
        <f ca="1">J63*J56</f>
        <v>19739.655000000002</v>
      </c>
      <c r="K62" s="51">
        <f t="shared" ref="K62:N62" ca="1" si="39">K63*K56</f>
        <v>23600.85</v>
      </c>
      <c r="L62" s="51">
        <f t="shared" ca="1" si="39"/>
        <v>27647.408372478734</v>
      </c>
      <c r="M62" s="51">
        <f t="shared" ca="1" si="39"/>
        <v>32007.781014074757</v>
      </c>
      <c r="N62" s="51">
        <f t="shared" ca="1" si="39"/>
        <v>36635.921787105668</v>
      </c>
    </row>
    <row r="63" spans="2:17" ht="15" customHeight="1">
      <c r="B63" s="13" t="s">
        <v>19</v>
      </c>
      <c r="E63" s="49">
        <f>E62/E56</f>
        <v>0.19241127054945939</v>
      </c>
      <c r="F63" s="49">
        <f t="shared" ref="F63:I63" si="40">F62/F56</f>
        <v>0.26241018941868061</v>
      </c>
      <c r="G63" s="49">
        <f t="shared" si="40"/>
        <v>0.19353088027786822</v>
      </c>
      <c r="H63" s="49">
        <f t="shared" si="40"/>
        <v>0.1365445453617716</v>
      </c>
      <c r="I63" s="49">
        <f t="shared" si="40"/>
        <v>0.24558924663957488</v>
      </c>
      <c r="J63" s="49">
        <f ca="1">OFFSET(J63,$D$11,0)</f>
        <v>0.19500000000000001</v>
      </c>
      <c r="K63" s="49">
        <f t="shared" ref="K63:N63" ca="1" si="41">OFFSET(K63,$D$11,0)</f>
        <v>0.19500000000000001</v>
      </c>
      <c r="L63" s="49">
        <f t="shared" ca="1" si="41"/>
        <v>0.19500000000000001</v>
      </c>
      <c r="M63" s="49">
        <f t="shared" ca="1" si="41"/>
        <v>0.19500000000000001</v>
      </c>
      <c r="N63" s="49">
        <f t="shared" ca="1" si="41"/>
        <v>0.19500000000000001</v>
      </c>
    </row>
    <row r="64" spans="2:17" ht="15" customHeight="1">
      <c r="B64" s="13" t="s">
        <v>12</v>
      </c>
      <c r="J64" s="53">
        <f>J65</f>
        <v>0.19500000000000001</v>
      </c>
      <c r="K64" s="53">
        <f t="shared" ref="K64:L64" si="42">K65</f>
        <v>0.19500000000000001</v>
      </c>
      <c r="L64" s="53">
        <f t="shared" si="42"/>
        <v>0.19500000000000001</v>
      </c>
      <c r="M64" s="53">
        <f>$H$13</f>
        <v>0.22500000000000001</v>
      </c>
      <c r="N64" s="53">
        <f>$H$13</f>
        <v>0.22500000000000001</v>
      </c>
    </row>
    <row r="65" spans="2:14" ht="15" customHeight="1">
      <c r="B65" s="13" t="s">
        <v>60</v>
      </c>
      <c r="J65" s="52">
        <f>$L$13</f>
        <v>0.19500000000000001</v>
      </c>
      <c r="K65" s="52">
        <f t="shared" ref="K65:N65" si="43">$L$13</f>
        <v>0.19500000000000001</v>
      </c>
      <c r="L65" s="52">
        <f t="shared" si="43"/>
        <v>0.19500000000000001</v>
      </c>
      <c r="M65" s="52">
        <f t="shared" si="43"/>
        <v>0.19500000000000001</v>
      </c>
      <c r="N65" s="52">
        <f t="shared" si="43"/>
        <v>0.19500000000000001</v>
      </c>
    </row>
    <row r="66" spans="2:14" ht="15" customHeight="1">
      <c r="B66" s="13" t="s">
        <v>14</v>
      </c>
      <c r="J66" s="53">
        <f>J65</f>
        <v>0.19500000000000001</v>
      </c>
      <c r="K66" s="53">
        <f t="shared" ref="K66:L66" si="44">K65</f>
        <v>0.19500000000000001</v>
      </c>
      <c r="L66" s="53">
        <f t="shared" si="44"/>
        <v>0.19500000000000001</v>
      </c>
      <c r="M66" s="53">
        <f>$P$13</f>
        <v>0.185</v>
      </c>
      <c r="N66" s="53">
        <f>$P$13</f>
        <v>0.185</v>
      </c>
    </row>
    <row r="67" spans="2:14" ht="15" customHeight="1">
      <c r="J67" s="25"/>
      <c r="K67" s="25"/>
      <c r="L67" s="25"/>
      <c r="M67" s="25"/>
      <c r="N67" s="25"/>
    </row>
    <row r="68" spans="2:14" ht="15" customHeight="1">
      <c r="B68" s="13" t="s">
        <v>61</v>
      </c>
      <c r="J68" s="56">
        <f ca="1">J56-J62</f>
        <v>81489.345000000016</v>
      </c>
      <c r="K68" s="56">
        <f t="shared" ref="K68:N68" ca="1" si="45">K56-K62</f>
        <v>97429.15</v>
      </c>
      <c r="L68" s="56">
        <f t="shared" ca="1" si="45"/>
        <v>114134.1730248481</v>
      </c>
      <c r="M68" s="56">
        <f t="shared" ca="1" si="45"/>
        <v>132134.68572477016</v>
      </c>
      <c r="N68" s="56">
        <f t="shared" ca="1" si="45"/>
        <v>151240.6001980516</v>
      </c>
    </row>
    <row r="69" spans="2:14" ht="15" customHeight="1"/>
    <row r="70" spans="2:14" ht="15" customHeight="1"/>
    <row r="71" spans="2:14" ht="15" customHeight="1">
      <c r="B71" s="13" t="s">
        <v>48</v>
      </c>
      <c r="E71" s="50" cm="1">
        <f t="array" ref="E71:I71">E37:I37</f>
        <v>34433</v>
      </c>
      <c r="F71" s="50">
        <v>41921</v>
      </c>
      <c r="G71" s="50">
        <v>48663</v>
      </c>
      <c r="H71" s="50">
        <v>52795</v>
      </c>
      <c r="I71" s="50">
        <v>65756</v>
      </c>
      <c r="J71" s="51">
        <f ca="1">J50*J72</f>
        <v>82300</v>
      </c>
      <c r="K71" s="51">
        <f t="shared" ref="K71:N71" ca="1" si="46">K50*K72</f>
        <v>117389.99999999999</v>
      </c>
      <c r="L71" s="51">
        <f t="shared" ca="1" si="46"/>
        <v>154761.585328068</v>
      </c>
      <c r="M71" s="51">
        <f t="shared" ca="1" si="46"/>
        <v>183709.11840307806</v>
      </c>
      <c r="N71" s="51">
        <f t="shared" ca="1" si="46"/>
        <v>193747.66329719342</v>
      </c>
    </row>
    <row r="72" spans="2:14" ht="15" customHeight="1">
      <c r="B72" s="13" t="s">
        <v>18</v>
      </c>
      <c r="E72" s="49">
        <f>E71/E50</f>
        <v>7.3289458560901785E-2</v>
      </c>
      <c r="F72" s="49">
        <f t="shared" ref="F72:I72" si="47">F71/F50</f>
        <v>8.1561063303650122E-2</v>
      </c>
      <c r="G72" s="49">
        <f t="shared" si="47"/>
        <v>8.4662960933218512E-2</v>
      </c>
      <c r="H72" s="49">
        <f t="shared" si="47"/>
        <v>8.2756101881155369E-2</v>
      </c>
      <c r="I72" s="49">
        <f t="shared" si="47"/>
        <v>9.1719624395333391E-2</v>
      </c>
      <c r="J72" s="57">
        <v>0.1</v>
      </c>
      <c r="K72" s="57">
        <v>0.129</v>
      </c>
      <c r="L72" s="57">
        <v>0.155</v>
      </c>
      <c r="M72" s="57">
        <v>0.16900000000000001</v>
      </c>
      <c r="N72" s="57">
        <v>0.16500000000000001</v>
      </c>
    </row>
    <row r="73" spans="2:14" ht="15" customHeight="1"/>
    <row r="74" spans="2:14" ht="15" customHeight="1"/>
    <row r="75" spans="2:14" ht="15" customHeight="1">
      <c r="B75" s="13" t="s">
        <v>50</v>
      </c>
      <c r="E75" s="50" cm="1">
        <f t="array" ref="E75:I75">E41:I41</f>
        <v>46327</v>
      </c>
      <c r="F75" s="50">
        <v>46752</v>
      </c>
      <c r="G75" s="50">
        <v>84946</v>
      </c>
      <c r="H75" s="50">
        <v>115877</v>
      </c>
      <c r="I75" s="50">
        <v>139514</v>
      </c>
      <c r="J75" s="48">
        <v>218000</v>
      </c>
      <c r="K75" s="48">
        <v>308000</v>
      </c>
      <c r="L75" s="48">
        <v>318000</v>
      </c>
      <c r="M75" s="48">
        <v>280000</v>
      </c>
      <c r="N75" s="48">
        <v>255000</v>
      </c>
    </row>
    <row r="76" spans="2:14" ht="15" customHeight="1">
      <c r="B76" s="13" t="s">
        <v>18</v>
      </c>
      <c r="E76" s="49">
        <f>E75/E50</f>
        <v>9.8605429290241839E-2</v>
      </c>
      <c r="F76" s="49">
        <f t="shared" ref="F76:I76" si="48">F75/F50</f>
        <v>9.0960206855090542E-2</v>
      </c>
      <c r="G76" s="49">
        <f t="shared" si="48"/>
        <v>0.14778743356211452</v>
      </c>
      <c r="H76" s="49">
        <f t="shared" si="48"/>
        <v>0.18163706445085029</v>
      </c>
      <c r="I76" s="49">
        <f t="shared" si="48"/>
        <v>0.19460082240237458</v>
      </c>
      <c r="J76" s="49">
        <f ca="1">J75/J50</f>
        <v>0.2648845686512758</v>
      </c>
      <c r="K76" s="49">
        <f t="shared" ref="K76:N76" ca="1" si="49">K75/K50</f>
        <v>0.33846153846153848</v>
      </c>
      <c r="L76" s="49">
        <f t="shared" ca="1" si="49"/>
        <v>0.31848988814319557</v>
      </c>
      <c r="M76" s="49">
        <f t="shared" ca="1" si="49"/>
        <v>0.25758111742812195</v>
      </c>
      <c r="N76" s="49">
        <f t="shared" ca="1" si="49"/>
        <v>0.21716390940653729</v>
      </c>
    </row>
    <row r="77" spans="2:14" ht="15" customHeight="1">
      <c r="E77" s="49"/>
      <c r="F77" s="49"/>
      <c r="G77" s="49"/>
      <c r="H77" s="49"/>
      <c r="I77" s="49"/>
    </row>
    <row r="78" spans="2:14" ht="15" customHeight="1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spans="2:14" ht="15" customHeight="1">
      <c r="B79" s="35" t="s">
        <v>53</v>
      </c>
      <c r="C79" s="25"/>
      <c r="D79" s="25"/>
      <c r="E79" s="58" cm="1">
        <f t="array" ref="E79:I79">E45:I45</f>
        <v>-58154</v>
      </c>
      <c r="F79" s="58">
        <v>20553</v>
      </c>
      <c r="G79" s="58">
        <v>-12232</v>
      </c>
      <c r="H79" s="58">
        <v>-44509</v>
      </c>
      <c r="I79" s="58">
        <v>-48203</v>
      </c>
      <c r="J79" s="56">
        <f ca="1">J80*J50</f>
        <v>-39845.669058898115</v>
      </c>
      <c r="K79" s="56">
        <f t="shared" ref="K79:N79" ca="1" si="50">K80*K50</f>
        <v>-44057.78717326522</v>
      </c>
      <c r="L79" s="56">
        <f t="shared" ca="1" si="50"/>
        <v>-48340.680531592676</v>
      </c>
      <c r="M79" s="56">
        <f t="shared" ca="1" si="50"/>
        <v>-52629.0216554457</v>
      </c>
      <c r="N79" s="56">
        <f t="shared" ca="1" si="50"/>
        <v>-56850.438327440548</v>
      </c>
    </row>
    <row r="80" spans="2:14" ht="15" customHeight="1">
      <c r="B80" s="13" t="s">
        <v>49</v>
      </c>
      <c r="C80" s="25"/>
      <c r="D80" s="25"/>
      <c r="E80" s="46">
        <f>E79/E50</f>
        <v>-0.12377879281940821</v>
      </c>
      <c r="F80" s="46">
        <f t="shared" ref="F80:I80" si="51">F79/F50</f>
        <v>3.9987703873474417E-2</v>
      </c>
      <c r="G80" s="46">
        <f t="shared" si="51"/>
        <v>-2.12810007220091E-2</v>
      </c>
      <c r="H80" s="46">
        <f t="shared" si="51"/>
        <v>-6.9767806395081816E-2</v>
      </c>
      <c r="I80" s="46">
        <f t="shared" si="51"/>
        <v>-6.7235857636234797E-2</v>
      </c>
      <c r="J80" s="59">
        <f>AVERAGE($E$80:$I$80)</f>
        <v>-4.8415150739851899E-2</v>
      </c>
      <c r="K80" s="59">
        <f t="shared" ref="K80:N80" si="52">AVERAGE($E$80:$I$80)</f>
        <v>-4.8415150739851899E-2</v>
      </c>
      <c r="L80" s="59">
        <f t="shared" si="52"/>
        <v>-4.8415150739851899E-2</v>
      </c>
      <c r="M80" s="59">
        <f t="shared" si="52"/>
        <v>-4.8415150739851899E-2</v>
      </c>
      <c r="N80" s="59">
        <f t="shared" si="52"/>
        <v>-4.8415150739851899E-2</v>
      </c>
    </row>
    <row r="81" spans="2:18" ht="15" customHeight="1"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spans="2:18" ht="15" customHeight="1"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spans="2:18" ht="15" customHeight="1"/>
    <row r="84" spans="2:18" ht="15" customHeight="1">
      <c r="B84" s="13" t="s">
        <v>59</v>
      </c>
      <c r="J84" s="51">
        <f ca="1">J68-J75-J79+J71</f>
        <v>-14364.985941101855</v>
      </c>
      <c r="K84" s="51">
        <f t="shared" ref="K84:N84" ca="1" si="53">K68-K75-K79+K71</f>
        <v>-49123.062826734807</v>
      </c>
      <c r="L84" s="51">
        <f t="shared" ca="1" si="53"/>
        <v>-763.56111549120396</v>
      </c>
      <c r="M84" s="51">
        <f t="shared" ca="1" si="53"/>
        <v>88472.825783293913</v>
      </c>
      <c r="N84" s="51">
        <f t="shared" ca="1" si="53"/>
        <v>146838.70182268557</v>
      </c>
    </row>
    <row r="85" spans="2:18" ht="15" customHeight="1">
      <c r="B85" s="13">
        <v>2026</v>
      </c>
      <c r="J85" s="19">
        <f>162/365</f>
        <v>0.44383561643835617</v>
      </c>
      <c r="K85" s="51"/>
      <c r="L85" s="51"/>
      <c r="M85" s="51"/>
      <c r="N85" s="51"/>
    </row>
    <row r="86" spans="2:18" ht="15" customHeight="1">
      <c r="B86" s="13" t="s">
        <v>77</v>
      </c>
      <c r="J86" s="60">
        <v>0.44</v>
      </c>
      <c r="K86" s="60">
        <f>J86+1</f>
        <v>1.44</v>
      </c>
      <c r="L86" s="60">
        <f t="shared" ref="L86:N86" si="54">K86+1</f>
        <v>2.44</v>
      </c>
      <c r="M86" s="60">
        <f t="shared" si="54"/>
        <v>3.44</v>
      </c>
      <c r="N86" s="60">
        <f t="shared" si="54"/>
        <v>4.4399999999999995</v>
      </c>
    </row>
    <row r="87" spans="2:18" ht="15" customHeight="1">
      <c r="B87" s="13" t="s">
        <v>78</v>
      </c>
      <c r="J87" s="56">
        <f ca="1">J84/(1+waccnum)^J86</f>
        <v>-13858.496627758959</v>
      </c>
      <c r="K87" s="56">
        <f ca="1">K84/(1+waccnum)^K86</f>
        <v>-43678.389249053151</v>
      </c>
      <c r="L87" s="56">
        <f ca="1">L84/(1+waccnum)^L86</f>
        <v>-625.74190870847565</v>
      </c>
      <c r="M87" s="56">
        <f ca="1">M84/(1+waccnum)^M86</f>
        <v>66823.866275935376</v>
      </c>
      <c r="N87" s="56">
        <f ca="1">N84/(1+waccnum)^N86</f>
        <v>102219.20496069694</v>
      </c>
    </row>
    <row r="88" spans="2:18" ht="15" customHeight="1">
      <c r="B88" s="25"/>
      <c r="J88" s="25"/>
      <c r="K88" s="25"/>
      <c r="L88" s="25"/>
      <c r="M88" s="25"/>
      <c r="N88" s="25"/>
    </row>
    <row r="89" spans="2:18" ht="15" customHeight="1">
      <c r="B89" s="13" t="s">
        <v>79</v>
      </c>
      <c r="J89" s="25"/>
      <c r="K89" s="25"/>
      <c r="L89" s="25"/>
      <c r="M89" s="25"/>
      <c r="N89" s="61">
        <f ca="1">N84*(1+tgrnum)/(waccnum-tgrnum)</f>
        <v>2508494.4894708782</v>
      </c>
    </row>
    <row r="90" spans="2:18" ht="15" customHeight="1">
      <c r="B90" s="13" t="s">
        <v>80</v>
      </c>
      <c r="N90" s="62">
        <f ca="1">N89/(1+waccnum)^N86</f>
        <v>1746244.7514119057</v>
      </c>
    </row>
    <row r="91" spans="2:18" ht="15" customHeight="1">
      <c r="B91" s="13" t="s">
        <v>81</v>
      </c>
      <c r="N91" s="61">
        <f ca="1">SUM(J87:N87)+N90</f>
        <v>1857125.1948630174</v>
      </c>
      <c r="O91" s="25"/>
      <c r="P91" s="25"/>
      <c r="Q91" s="25"/>
      <c r="R91" s="25"/>
    </row>
    <row r="92" spans="2:18" ht="15" customHeight="1">
      <c r="B92" s="63" t="s">
        <v>83</v>
      </c>
      <c r="N92" s="64">
        <v>69893</v>
      </c>
    </row>
    <row r="93" spans="2:18" ht="15" customHeight="1">
      <c r="B93" s="63" t="s">
        <v>82</v>
      </c>
      <c r="N93" s="25">
        <v>62475</v>
      </c>
    </row>
    <row r="94" spans="2:18">
      <c r="B94" s="13" t="s">
        <v>84</v>
      </c>
      <c r="N94" s="65">
        <f ca="1">N91+N92-N93</f>
        <v>1864543.1948630174</v>
      </c>
    </row>
    <row r="95" spans="2:18">
      <c r="B95" s="13" t="s">
        <v>85</v>
      </c>
      <c r="N95" s="13">
        <v>10492</v>
      </c>
    </row>
    <row r="96" spans="2:18">
      <c r="B96" s="13" t="s">
        <v>86</v>
      </c>
      <c r="N96" s="21">
        <f ca="1">N94/N95</f>
        <v>177.71094118023422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98B5-42A4-4FF5-8412-5CC21088E2E5}">
  <dimension ref="B1:H43"/>
  <sheetViews>
    <sheetView showGridLines="0" topLeftCell="C1" zoomScaleNormal="100" workbookViewId="0">
      <selection activeCell="C9" sqref="C9:G9"/>
    </sheetView>
  </sheetViews>
  <sheetFormatPr defaultRowHeight="15"/>
  <cols>
    <col min="1" max="1" width="9.140625" style="2"/>
    <col min="2" max="2" width="63.7109375" style="2" bestFit="1" customWidth="1"/>
    <col min="3" max="8" width="11.5703125" style="2" customWidth="1"/>
    <col min="9" max="16384" width="9.140625" style="2"/>
  </cols>
  <sheetData>
    <row r="1" spans="2:7" ht="15" customHeight="1">
      <c r="B1" s="3" t="s">
        <v>33</v>
      </c>
      <c r="C1">
        <v>2021</v>
      </c>
      <c r="D1">
        <v>2022</v>
      </c>
      <c r="E1" s="4" t="s">
        <v>34</v>
      </c>
      <c r="F1" s="4" t="s">
        <v>35</v>
      </c>
      <c r="G1" s="4" t="s">
        <v>36</v>
      </c>
    </row>
    <row r="2" spans="2:7" ht="15" customHeight="1">
      <c r="B2" s="7" t="s">
        <v>20</v>
      </c>
      <c r="C2" s="1">
        <v>469822</v>
      </c>
      <c r="D2" s="1">
        <v>513983</v>
      </c>
      <c r="E2" s="9">
        <v>574785</v>
      </c>
      <c r="F2" s="9">
        <v>637959</v>
      </c>
      <c r="G2" s="9">
        <v>716924</v>
      </c>
    </row>
    <row r="3" spans="2:7" ht="15" customHeight="1">
      <c r="B3" s="5" t="s">
        <v>37</v>
      </c>
      <c r="C3" s="1">
        <v>272344</v>
      </c>
      <c r="D3" s="1">
        <v>288831</v>
      </c>
      <c r="E3" s="6">
        <v>304739</v>
      </c>
      <c r="F3" s="6">
        <v>326288</v>
      </c>
      <c r="G3" s="6">
        <v>356414</v>
      </c>
    </row>
    <row r="4" spans="2:7" ht="15" customHeight="1">
      <c r="B4" s="5" t="s">
        <v>38</v>
      </c>
      <c r="C4" s="1">
        <v>75111</v>
      </c>
      <c r="D4" s="1">
        <v>84299</v>
      </c>
      <c r="E4" s="6">
        <v>90619</v>
      </c>
      <c r="F4" s="6">
        <v>98505</v>
      </c>
      <c r="G4" s="6">
        <v>109074</v>
      </c>
    </row>
    <row r="5" spans="2:7" ht="15" customHeight="1">
      <c r="B5" s="5" t="s">
        <v>39</v>
      </c>
      <c r="C5" s="1">
        <v>56052</v>
      </c>
      <c r="D5" s="1">
        <v>73213</v>
      </c>
      <c r="E5" s="6">
        <v>85622</v>
      </c>
      <c r="F5" s="6">
        <v>88544</v>
      </c>
      <c r="G5" s="6">
        <v>108521</v>
      </c>
    </row>
    <row r="6" spans="2:7" ht="15" customHeight="1">
      <c r="B6" s="5" t="s">
        <v>40</v>
      </c>
      <c r="C6" s="1">
        <v>32551</v>
      </c>
      <c r="D6" s="1">
        <v>42238</v>
      </c>
      <c r="E6" s="6">
        <v>44370</v>
      </c>
      <c r="F6" s="6">
        <v>43907</v>
      </c>
      <c r="G6" s="6">
        <v>47129</v>
      </c>
    </row>
    <row r="7" spans="2:7" ht="15" customHeight="1">
      <c r="B7" s="5" t="s">
        <v>41</v>
      </c>
      <c r="C7" s="1">
        <v>8823</v>
      </c>
      <c r="D7" s="1">
        <v>11891</v>
      </c>
      <c r="E7" s="6">
        <v>11816</v>
      </c>
      <c r="F7" s="6">
        <v>11359</v>
      </c>
      <c r="G7" s="6">
        <v>11172</v>
      </c>
    </row>
    <row r="8" spans="2:7" ht="15" customHeight="1">
      <c r="B8" s="5" t="s">
        <v>42</v>
      </c>
      <c r="C8">
        <v>62</v>
      </c>
      <c r="D8" s="1">
        <v>1263</v>
      </c>
      <c r="E8" s="6">
        <v>767</v>
      </c>
      <c r="F8" s="6">
        <v>763</v>
      </c>
      <c r="G8" s="6">
        <v>4639</v>
      </c>
    </row>
    <row r="9" spans="2:7" customFormat="1" ht="15" customHeight="1">
      <c r="B9" s="8" t="s">
        <v>17</v>
      </c>
      <c r="C9" s="1">
        <f>C2-C3-C4-C5-C6-C7-C8</f>
        <v>24879</v>
      </c>
      <c r="D9" s="1">
        <f t="shared" ref="D9:G9" si="0">D2-D3-D4-D5-D6-D7-D8</f>
        <v>12248</v>
      </c>
      <c r="E9" s="1">
        <f t="shared" si="0"/>
        <v>36852</v>
      </c>
      <c r="F9" s="1">
        <f t="shared" si="0"/>
        <v>68593</v>
      </c>
      <c r="G9" s="1">
        <f t="shared" si="0"/>
        <v>79975</v>
      </c>
    </row>
    <row r="10" spans="2:7" ht="15" customHeight="1">
      <c r="B10" s="5" t="s">
        <v>25</v>
      </c>
      <c r="C10" s="1">
        <v>13272</v>
      </c>
      <c r="D10" s="1">
        <v>-18184</v>
      </c>
      <c r="E10" s="6">
        <v>705</v>
      </c>
      <c r="F10" s="6">
        <v>21</v>
      </c>
      <c r="G10" s="6">
        <v>17336</v>
      </c>
    </row>
    <row r="11" spans="2:7" customFormat="1" ht="15" customHeight="1">
      <c r="B11" s="8" t="s">
        <v>45</v>
      </c>
      <c r="C11" s="1">
        <f>C9+C10</f>
        <v>38151</v>
      </c>
      <c r="D11" s="1">
        <f t="shared" ref="D11:G11" si="1">D9+D10</f>
        <v>-5936</v>
      </c>
      <c r="E11" s="1">
        <f t="shared" si="1"/>
        <v>37557</v>
      </c>
      <c r="F11" s="1">
        <f t="shared" si="1"/>
        <v>68614</v>
      </c>
      <c r="G11" s="1">
        <f t="shared" si="1"/>
        <v>97311</v>
      </c>
    </row>
    <row r="12" spans="2:7" customFormat="1" ht="15" customHeight="1">
      <c r="B12" s="5" t="s">
        <v>46</v>
      </c>
      <c r="C12" s="1">
        <f>C11-C13</f>
        <v>4787</v>
      </c>
      <c r="D12" s="1">
        <f t="shared" ref="D12:G12" si="2">D11-D13</f>
        <v>-3214</v>
      </c>
      <c r="E12" s="1">
        <f t="shared" si="2"/>
        <v>7132</v>
      </c>
      <c r="F12" s="1">
        <f t="shared" si="2"/>
        <v>9366</v>
      </c>
      <c r="G12" s="1">
        <f t="shared" si="2"/>
        <v>19641</v>
      </c>
    </row>
    <row r="13" spans="2:7" customFormat="1" ht="15" customHeight="1">
      <c r="B13" s="8" t="s">
        <v>47</v>
      </c>
      <c r="C13">
        <v>33364</v>
      </c>
      <c r="D13">
        <v>-2722</v>
      </c>
      <c r="E13">
        <v>30425</v>
      </c>
      <c r="F13">
        <v>59248</v>
      </c>
      <c r="G13">
        <v>77670</v>
      </c>
    </row>
    <row r="14" spans="2:7" customFormat="1" ht="15" customHeight="1"/>
    <row r="17" spans="2:8" ht="15" customHeight="1">
      <c r="B17"/>
      <c r="C17"/>
      <c r="D17"/>
      <c r="E17"/>
      <c r="F17"/>
      <c r="G17"/>
      <c r="H17"/>
    </row>
    <row r="18" spans="2:8" ht="15" customHeight="1"/>
    <row r="19" spans="2:8" customFormat="1" ht="15" customHeight="1">
      <c r="B19" t="s">
        <v>21</v>
      </c>
      <c r="C19">
        <v>24879</v>
      </c>
      <c r="D19">
        <v>12248</v>
      </c>
      <c r="E19">
        <v>36852</v>
      </c>
      <c r="F19">
        <v>68593</v>
      </c>
      <c r="G19">
        <v>79975</v>
      </c>
    </row>
    <row r="20" spans="2:8" customFormat="1">
      <c r="B20" t="s">
        <v>22</v>
      </c>
      <c r="C20">
        <v>448</v>
      </c>
      <c r="D20">
        <v>989</v>
      </c>
      <c r="E20">
        <v>2949</v>
      </c>
      <c r="F20">
        <v>4677</v>
      </c>
      <c r="G20">
        <v>4381</v>
      </c>
    </row>
    <row r="21" spans="2:8" customFormat="1">
      <c r="B21" t="s">
        <v>23</v>
      </c>
      <c r="C21">
        <v>-1809</v>
      </c>
      <c r="D21">
        <v>-2367</v>
      </c>
      <c r="E21">
        <v>-3182</v>
      </c>
      <c r="F21">
        <v>-2406</v>
      </c>
      <c r="G21">
        <v>-2274</v>
      </c>
    </row>
    <row r="22" spans="2:8" customFormat="1">
      <c r="B22" t="s">
        <v>24</v>
      </c>
      <c r="C22">
        <v>14633</v>
      </c>
      <c r="D22">
        <v>-16806</v>
      </c>
      <c r="E22">
        <v>938</v>
      </c>
      <c r="F22">
        <v>-2250</v>
      </c>
      <c r="G22">
        <v>15229</v>
      </c>
    </row>
    <row r="23" spans="2:8" customFormat="1">
      <c r="B23" t="s">
        <v>25</v>
      </c>
      <c r="C23">
        <v>13272</v>
      </c>
      <c r="D23">
        <v>-18184</v>
      </c>
      <c r="E23">
        <v>705</v>
      </c>
      <c r="F23">
        <v>21</v>
      </c>
      <c r="G23">
        <v>17336</v>
      </c>
    </row>
    <row r="24" spans="2:8" customFormat="1">
      <c r="B24" t="s">
        <v>26</v>
      </c>
      <c r="C24">
        <v>38151</v>
      </c>
      <c r="D24">
        <v>-5936</v>
      </c>
      <c r="E24">
        <v>37557</v>
      </c>
      <c r="F24">
        <v>68614</v>
      </c>
      <c r="G24">
        <v>97311</v>
      </c>
    </row>
    <row r="25" spans="2:8" customFormat="1">
      <c r="B25" t="s">
        <v>27</v>
      </c>
      <c r="C25">
        <v>-4791</v>
      </c>
      <c r="D25">
        <v>3217</v>
      </c>
      <c r="E25">
        <v>-7120</v>
      </c>
      <c r="F25">
        <v>-9265</v>
      </c>
      <c r="G25">
        <v>-19087</v>
      </c>
    </row>
    <row r="26" spans="2:8" customFormat="1">
      <c r="B26" t="s">
        <v>28</v>
      </c>
      <c r="C26">
        <v>4</v>
      </c>
      <c r="D26">
        <v>-3</v>
      </c>
      <c r="E26">
        <v>-12</v>
      </c>
      <c r="F26">
        <v>-101</v>
      </c>
      <c r="G26">
        <v>-554</v>
      </c>
    </row>
    <row r="27" spans="2:8" customFormat="1">
      <c r="B27" t="s">
        <v>29</v>
      </c>
      <c r="C27">
        <v>33364</v>
      </c>
      <c r="D27">
        <v>-2722</v>
      </c>
      <c r="E27">
        <v>30425</v>
      </c>
      <c r="F27">
        <v>59248</v>
      </c>
      <c r="G27">
        <v>77670</v>
      </c>
    </row>
    <row r="28" spans="2:8" customFormat="1" ht="25.5" customHeight="1">
      <c r="B28" t="s">
        <v>30</v>
      </c>
      <c r="C28">
        <v>3.3</v>
      </c>
      <c r="D28">
        <v>-0.27</v>
      </c>
      <c r="E28">
        <v>2.95</v>
      </c>
      <c r="F28">
        <v>5.66</v>
      </c>
      <c r="G28">
        <v>7.29</v>
      </c>
    </row>
    <row r="29" spans="2:8" customFormat="1">
      <c r="B29" t="s">
        <v>31</v>
      </c>
      <c r="C29">
        <v>3.24</v>
      </c>
      <c r="D29">
        <v>-0.27</v>
      </c>
      <c r="E29">
        <v>2.9</v>
      </c>
      <c r="F29">
        <v>5.53</v>
      </c>
      <c r="G29">
        <v>7.17</v>
      </c>
    </row>
    <row r="30" spans="2:8" customFormat="1">
      <c r="B30" t="s">
        <v>32</v>
      </c>
    </row>
    <row r="31" spans="2:8" customFormat="1">
      <c r="B31" t="s">
        <v>43</v>
      </c>
      <c r="C31">
        <v>10117</v>
      </c>
      <c r="D31">
        <v>10189</v>
      </c>
      <c r="E31">
        <v>10304</v>
      </c>
      <c r="F31">
        <v>10473</v>
      </c>
      <c r="G31">
        <v>10656</v>
      </c>
    </row>
    <row r="32" spans="2:8" customFormat="1">
      <c r="B32" t="s">
        <v>44</v>
      </c>
      <c r="C32">
        <v>10296</v>
      </c>
      <c r="D32">
        <v>10189</v>
      </c>
      <c r="E32">
        <v>10492</v>
      </c>
      <c r="F32">
        <v>10721</v>
      </c>
      <c r="G32">
        <v>10827</v>
      </c>
    </row>
    <row r="33" customFormat="1"/>
    <row r="34" customFormat="1" ht="25.5" customHeight="1"/>
    <row r="35" customFormat="1"/>
    <row r="36" customFormat="1" ht="25.5" customHeight="1"/>
    <row r="37" customFormat="1" ht="25.5" customHeight="1"/>
    <row r="38" customFormat="1"/>
    <row r="39" customFormat="1"/>
    <row r="40" customFormat="1"/>
    <row r="41" customFormat="1" ht="25.5" customHeight="1"/>
    <row r="42" customFormat="1"/>
    <row r="43" customForma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F323-5EC3-4B68-AFAF-E6FF6E19E388}">
  <dimension ref="A1:F12"/>
  <sheetViews>
    <sheetView showGridLines="0" zoomScaleNormal="100" workbookViewId="0">
      <selection activeCell="B4" sqref="B4:F4"/>
    </sheetView>
  </sheetViews>
  <sheetFormatPr defaultRowHeight="15"/>
  <cols>
    <col min="1" max="1" width="58.140625" bestFit="1" customWidth="1"/>
    <col min="2" max="4" width="11.140625" bestFit="1" customWidth="1"/>
    <col min="5" max="5" width="11.42578125" bestFit="1" customWidth="1"/>
    <col min="6" max="6" width="12.28515625" bestFit="1" customWidth="1"/>
  </cols>
  <sheetData>
    <row r="1" spans="1:6" ht="15.75" thickBot="1">
      <c r="A1" s="10" t="s">
        <v>33</v>
      </c>
      <c r="B1" s="10">
        <v>2021</v>
      </c>
      <c r="C1" s="10">
        <v>2022</v>
      </c>
      <c r="D1" s="10">
        <v>2023</v>
      </c>
      <c r="E1" s="10">
        <v>2024</v>
      </c>
      <c r="F1" s="10">
        <v>2025</v>
      </c>
    </row>
    <row r="2" spans="1:6" ht="15.75" thickBot="1">
      <c r="A2" s="10" t="s">
        <v>55</v>
      </c>
      <c r="B2" s="11">
        <v>34433</v>
      </c>
      <c r="C2" s="11">
        <v>41921</v>
      </c>
      <c r="D2" s="11">
        <v>48663</v>
      </c>
      <c r="E2" s="11">
        <v>52795</v>
      </c>
      <c r="F2" s="11">
        <v>65756</v>
      </c>
    </row>
    <row r="3" spans="1:6" ht="15.75" thickBot="1">
      <c r="A3" s="10" t="s">
        <v>56</v>
      </c>
      <c r="B3" s="11">
        <v>46327</v>
      </c>
      <c r="C3" s="11">
        <v>46752</v>
      </c>
      <c r="D3" s="11">
        <v>84946</v>
      </c>
      <c r="E3" s="11">
        <v>115877</v>
      </c>
      <c r="F3" s="11">
        <v>139514</v>
      </c>
    </row>
    <row r="4" spans="1:6" ht="15.75" thickBot="1">
      <c r="A4" s="10" t="s">
        <v>57</v>
      </c>
      <c r="B4" s="11">
        <v>-58154</v>
      </c>
      <c r="C4" s="11">
        <v>-37601</v>
      </c>
      <c r="D4" s="11">
        <v>-49833</v>
      </c>
      <c r="E4" s="11">
        <v>-94342</v>
      </c>
      <c r="F4" s="11">
        <v>-142545</v>
      </c>
    </row>
    <row r="9" spans="1:6">
      <c r="A9" t="s">
        <v>69</v>
      </c>
    </row>
    <row r="10" spans="1:6">
      <c r="A10" t="s">
        <v>70</v>
      </c>
    </row>
    <row r="11" spans="1:6">
      <c r="A11" t="s">
        <v>71</v>
      </c>
    </row>
    <row r="12" spans="1:6">
      <c r="A12" t="s">
        <v>72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062b69-b0a3-4d65-976d-eaba6701b14f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994DAB0D416D4681CE066C8814A94F" ma:contentTypeVersion="5" ma:contentTypeDescription="Create a new document." ma:contentTypeScope="" ma:versionID="0479c29d430c4a27a78c28d84b8737b2">
  <xsd:schema xmlns:xsd="http://www.w3.org/2001/XMLSchema" xmlns:xs="http://www.w3.org/2001/XMLSchema" xmlns:p="http://schemas.microsoft.com/office/2006/metadata/properties" xmlns:ns3="67062b69-b0a3-4d65-976d-eaba6701b14f" targetNamespace="http://schemas.microsoft.com/office/2006/metadata/properties" ma:root="true" ma:fieldsID="de061817e4c60a4ea432e0661b51f287" ns3:_="">
    <xsd:import namespace="67062b69-b0a3-4d65-976d-eaba6701b14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62b69-b0a3-4d65-976d-eaba6701b14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23FD51-6DF4-4DB7-B3FE-F822586FF2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31CF07-B20A-4011-9958-253C25909890}">
  <ds:schemaRefs>
    <ds:schemaRef ds:uri="http://www.w3.org/XML/1998/namespace"/>
    <ds:schemaRef ds:uri="67062b69-b0a3-4d65-976d-eaba6701b14f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4208AAE-BBFC-476D-ABCE-41003F4FA30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1A73BAE-2D60-46A1-A334-0BE34D03E5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062b69-b0a3-4d65-976d-eaba6701b1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Amazon DCF</vt:lpstr>
      <vt:lpstr>IS</vt:lpstr>
      <vt:lpstr>CFS</vt:lpstr>
      <vt:lpstr>tgr</vt:lpstr>
      <vt:lpstr>tgrnum</vt:lpstr>
      <vt:lpstr>wacc</vt:lpstr>
      <vt:lpstr>waccnum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Aryan</dc:creator>
  <cp:lastModifiedBy>Gupta, Aryan</cp:lastModifiedBy>
  <dcterms:created xsi:type="dcterms:W3CDTF">2026-07-16T18:43:05Z</dcterms:created>
  <dcterms:modified xsi:type="dcterms:W3CDTF">2026-07-23T19:18:45Z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0x01010005994DAB0D416D4681CE066C8814A94F</vt:lpwstr>
  </property>
</Properties>
</file>